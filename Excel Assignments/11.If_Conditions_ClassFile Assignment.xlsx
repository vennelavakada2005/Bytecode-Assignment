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32d2c3c02be801/Desktop/DATA ANALYTICS/"/>
    </mc:Choice>
  </mc:AlternateContent>
  <xr:revisionPtr revIDLastSave="30" documentId="8_{D59D76DD-6BA1-4CDA-B3FE-4D3C6B090E42}" xr6:coauthVersionLast="47" xr6:coauthVersionMax="47" xr10:uidLastSave="{9FC2AD8C-8512-4B40-A4F6-413C8FF41612}"/>
  <bookViews>
    <workbookView xWindow="-108" yWindow="-108" windowWidth="23256" windowHeight="12456" activeTab="1" xr2:uid="{F67AF5F6-FB40-4892-8734-6A36C17C87EF}"/>
  </bookViews>
  <sheets>
    <sheet name="Questions" sheetId="3" r:id="rId1"/>
    <sheet name="Emp Dataset" sheetId="2" r:id="rId2"/>
    <sheet name="Logical Functions" sheetId="1" r:id="rId3"/>
  </sheets>
  <externalReferences>
    <externalReference r:id="rId4"/>
    <externalReference r:id="rId5"/>
    <externalReference r:id="rId6"/>
  </externalReferences>
  <definedNames>
    <definedName name="_xlnm._FilterDatabase" localSheetId="1" hidden="1">'Emp Dataset'!$A$3:$O$18</definedName>
    <definedName name="_xlnm._FilterDatabase" localSheetId="2" hidden="1">'Logical Functions'!$B$59:$I$71</definedName>
    <definedName name="Category">'[1]Sumifs Data'!$H$5:$H$34</definedName>
    <definedName name="Customer">'[1]Sumifs Data'!$G$5:$G$34</definedName>
    <definedName name="Date">[2]Worksheet!$C$6:$C$205</definedName>
    <definedName name="Department">'[3]Count WorkSheet'!$H$14:$H$24</definedName>
    <definedName name="Product">'[1]Sumifs Data'!$I$5:$I$34</definedName>
    <definedName name="Region">'[1]Sumifs Data'!$F$5:$F$34</definedName>
    <definedName name="Sales">'[1]Sumifs Data'!$J$5:$J$34</definedName>
    <definedName name="Sales_Rep">'[1]Sumifs Data'!$E$5:$E$34</definedName>
    <definedName name="Sales_Representative">[2]Worksheet!$D$6:$D$205</definedName>
    <definedName name="Total_Sa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2" l="1" a="1"/>
  <c r="T5" i="2"/>
  <c r="T6" i="2" a="1"/>
  <c r="T6" i="2"/>
  <c r="T7" i="2" a="1"/>
  <c r="T7" i="2"/>
  <c r="T8" i="2" a="1"/>
  <c r="T8" i="2"/>
  <c r="T9" i="2" a="1"/>
  <c r="T9" i="2"/>
  <c r="T10" i="2" a="1"/>
  <c r="T10" i="2"/>
  <c r="T11" i="2" a="1"/>
  <c r="T11" i="2"/>
  <c r="T12" i="2" a="1"/>
  <c r="T12" i="2"/>
  <c r="T13" i="2" a="1"/>
  <c r="T13" i="2"/>
  <c r="T14" i="2" a="1"/>
  <c r="T14" i="2"/>
  <c r="T15" i="2" a="1"/>
  <c r="T15" i="2"/>
  <c r="T16" i="2" a="1"/>
  <c r="T16" i="2"/>
  <c r="T17" i="2" a="1"/>
  <c r="T17" i="2"/>
  <c r="T18" i="2" a="1"/>
  <c r="T18" i="2"/>
  <c r="S5" i="2" a="1"/>
  <c r="S5" i="2"/>
  <c r="S6" i="2" a="1"/>
  <c r="S6" i="2"/>
  <c r="S7" i="2" a="1"/>
  <c r="S7" i="2"/>
  <c r="S8" i="2" a="1"/>
  <c r="S8" i="2" s="1"/>
  <c r="S9" i="2" a="1"/>
  <c r="S9" i="2"/>
  <c r="S10" i="2" a="1"/>
  <c r="S10" i="2"/>
  <c r="S11" i="2" a="1"/>
  <c r="S11" i="2"/>
  <c r="S12" i="2" a="1"/>
  <c r="S12" i="2" s="1"/>
  <c r="S13" i="2" a="1"/>
  <c r="S13" i="2"/>
  <c r="S14" i="2" a="1"/>
  <c r="S14" i="2"/>
  <c r="S15" i="2" a="1"/>
  <c r="S15" i="2"/>
  <c r="S16" i="2" a="1"/>
  <c r="S16" i="2" s="1"/>
  <c r="S17" i="2" a="1"/>
  <c r="S17" i="2"/>
  <c r="S18" i="2" a="1"/>
  <c r="S18" i="2"/>
  <c r="S4" i="2" a="1"/>
  <c r="S4" i="2" s="1"/>
  <c r="T4" i="2" s="1" a="1"/>
  <c r="T4" i="2" s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4" i="2"/>
  <c r="O5" i="2" a="1"/>
  <c r="O5" i="2" s="1"/>
  <c r="O6" i="2" a="1"/>
  <c r="O6" i="2" s="1"/>
  <c r="O7" i="2" a="1"/>
  <c r="O7" i="2"/>
  <c r="O8" i="2" a="1"/>
  <c r="O8" i="2" s="1"/>
  <c r="O9" i="2" a="1"/>
  <c r="O9" i="2" s="1"/>
  <c r="O10" i="2" a="1"/>
  <c r="O10" i="2" s="1"/>
  <c r="O11" i="2" a="1"/>
  <c r="O11" i="2" s="1"/>
  <c r="O12" i="2" a="1"/>
  <c r="O12" i="2"/>
  <c r="O13" i="2" a="1"/>
  <c r="O13" i="2" s="1"/>
  <c r="O14" i="2" a="1"/>
  <c r="O14" i="2" s="1"/>
  <c r="O15" i="2" a="1"/>
  <c r="O15" i="2"/>
  <c r="O16" i="2" a="1"/>
  <c r="O16" i="2"/>
  <c r="O17" i="2" a="1"/>
  <c r="O17" i="2" s="1"/>
  <c r="O18" i="2" a="1"/>
  <c r="O18" i="2" s="1"/>
  <c r="O4" i="2" a="1"/>
  <c r="O4" i="2" s="1"/>
  <c r="N18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4" i="2"/>
  <c r="H61" i="1" a="1"/>
  <c r="H61" i="1"/>
  <c r="H62" i="1" a="1"/>
  <c r="H62" i="1"/>
  <c r="H63" i="1" a="1"/>
  <c r="H63" i="1"/>
  <c r="H64" i="1" a="1"/>
  <c r="H64" i="1"/>
  <c r="H65" i="1" a="1"/>
  <c r="H65" i="1"/>
  <c r="H66" i="1" a="1"/>
  <c r="H66" i="1"/>
  <c r="H67" i="1" a="1"/>
  <c r="H67" i="1"/>
  <c r="H68" i="1" a="1"/>
  <c r="H68" i="1"/>
  <c r="H69" i="1" a="1"/>
  <c r="H69" i="1"/>
  <c r="H70" i="1" a="1"/>
  <c r="H70" i="1"/>
  <c r="H71" i="1" a="1"/>
  <c r="H71" i="1"/>
  <c r="H60" i="1" a="1"/>
  <c r="H60" i="1" s="1"/>
  <c r="G61" i="1"/>
  <c r="G62" i="1"/>
  <c r="G63" i="1"/>
  <c r="G64" i="1"/>
  <c r="G65" i="1"/>
  <c r="G66" i="1"/>
  <c r="G67" i="1"/>
  <c r="G68" i="1"/>
  <c r="G69" i="1"/>
  <c r="G70" i="1"/>
  <c r="G71" i="1"/>
  <c r="G60" i="1"/>
  <c r="F61" i="1"/>
  <c r="F62" i="1"/>
  <c r="F63" i="1"/>
  <c r="F64" i="1"/>
  <c r="F65" i="1"/>
  <c r="F66" i="1"/>
  <c r="F67" i="1"/>
  <c r="F68" i="1"/>
  <c r="F69" i="1"/>
  <c r="F70" i="1"/>
  <c r="F71" i="1"/>
  <c r="F60" i="1"/>
  <c r="E61" i="1"/>
  <c r="E62" i="1"/>
  <c r="E63" i="1"/>
  <c r="E64" i="1"/>
  <c r="E65" i="1"/>
  <c r="E66" i="1"/>
  <c r="E67" i="1"/>
  <c r="E68" i="1"/>
  <c r="E69" i="1"/>
  <c r="E70" i="1"/>
  <c r="E71" i="1"/>
  <c r="E60" i="1"/>
  <c r="M49" i="1"/>
  <c r="M50" i="1"/>
  <c r="M51" i="1"/>
  <c r="M52" i="1"/>
  <c r="M53" i="1"/>
  <c r="M54" i="1"/>
  <c r="M55" i="1"/>
  <c r="M56" i="1"/>
  <c r="M57" i="1"/>
  <c r="M48" i="1"/>
  <c r="L49" i="1"/>
  <c r="L50" i="1"/>
  <c r="L51" i="1"/>
  <c r="L52" i="1"/>
  <c r="L53" i="1"/>
  <c r="L54" i="1"/>
  <c r="L55" i="1"/>
  <c r="L56" i="1"/>
  <c r="L57" i="1"/>
  <c r="L48" i="1"/>
  <c r="G49" i="1"/>
  <c r="G50" i="1"/>
  <c r="G51" i="1"/>
  <c r="G52" i="1"/>
  <c r="G53" i="1"/>
  <c r="G54" i="1"/>
  <c r="G55" i="1"/>
  <c r="G56" i="1"/>
  <c r="G57" i="1"/>
  <c r="G48" i="1"/>
  <c r="F49" i="1"/>
  <c r="F50" i="1"/>
  <c r="F51" i="1"/>
  <c r="F52" i="1"/>
  <c r="F53" i="1"/>
  <c r="F54" i="1"/>
  <c r="F55" i="1"/>
  <c r="F56" i="1"/>
  <c r="F57" i="1"/>
  <c r="F48" i="1"/>
  <c r="M37" i="1"/>
  <c r="M38" i="1"/>
  <c r="M39" i="1"/>
  <c r="M40" i="1"/>
  <c r="M41" i="1"/>
  <c r="M42" i="1"/>
  <c r="M43" i="1"/>
  <c r="M44" i="1"/>
  <c r="M45" i="1"/>
  <c r="M36" i="1"/>
  <c r="L37" i="1"/>
  <c r="L38" i="1"/>
  <c r="L39" i="1"/>
  <c r="L40" i="1"/>
  <c r="L41" i="1"/>
  <c r="L42" i="1"/>
  <c r="L43" i="1"/>
  <c r="L44" i="1"/>
  <c r="L45" i="1"/>
  <c r="L36" i="1"/>
  <c r="H37" i="1"/>
  <c r="H38" i="1"/>
  <c r="H39" i="1"/>
  <c r="H40" i="1"/>
  <c r="H41" i="1"/>
  <c r="H42" i="1"/>
  <c r="H43" i="1"/>
  <c r="H44" i="1"/>
  <c r="H45" i="1"/>
  <c r="H36" i="1"/>
  <c r="G37" i="1"/>
  <c r="G38" i="1"/>
  <c r="G39" i="1"/>
  <c r="G40" i="1"/>
  <c r="G41" i="1"/>
  <c r="G42" i="1"/>
  <c r="G43" i="1"/>
  <c r="G44" i="1"/>
  <c r="G45" i="1"/>
  <c r="G36" i="1"/>
  <c r="F37" i="1"/>
  <c r="F38" i="1"/>
  <c r="F39" i="1"/>
  <c r="F40" i="1"/>
  <c r="F41" i="1"/>
  <c r="F42" i="1"/>
  <c r="F43" i="1"/>
  <c r="F44" i="1"/>
  <c r="F45" i="1"/>
  <c r="F36" i="1"/>
  <c r="F24" i="1"/>
  <c r="F25" i="1"/>
  <c r="F26" i="1"/>
  <c r="F27" i="1"/>
  <c r="F28" i="1"/>
  <c r="F29" i="1"/>
  <c r="F30" i="1"/>
  <c r="F31" i="1"/>
  <c r="F32" i="1"/>
  <c r="F23" i="1"/>
  <c r="E24" i="1"/>
  <c r="E25" i="1"/>
  <c r="E26" i="1"/>
  <c r="E27" i="1"/>
  <c r="E28" i="1"/>
  <c r="E29" i="1"/>
  <c r="E30" i="1"/>
  <c r="E31" i="1"/>
  <c r="E32" i="1"/>
  <c r="E23" i="1"/>
  <c r="R57" i="1"/>
  <c r="Q57" i="1"/>
  <c r="P57" i="1"/>
  <c r="R56" i="1"/>
  <c r="Q56" i="1"/>
  <c r="P56" i="1"/>
  <c r="R55" i="1"/>
  <c r="Q55" i="1"/>
  <c r="P55" i="1"/>
  <c r="R54" i="1"/>
  <c r="Q54" i="1"/>
  <c r="P54" i="1"/>
  <c r="R53" i="1"/>
  <c r="Q53" i="1"/>
  <c r="P53" i="1"/>
  <c r="R52" i="1"/>
  <c r="Q52" i="1"/>
  <c r="P52" i="1"/>
  <c r="R51" i="1"/>
  <c r="Q51" i="1"/>
  <c r="P51" i="1"/>
  <c r="R50" i="1"/>
  <c r="Q50" i="1"/>
  <c r="P50" i="1"/>
  <c r="R49" i="1"/>
  <c r="Q49" i="1"/>
  <c r="P49" i="1"/>
  <c r="R48" i="1"/>
  <c r="O14" i="1"/>
  <c r="N14" i="1"/>
  <c r="M13" i="1"/>
  <c r="J13" i="1"/>
  <c r="I13" i="1"/>
  <c r="O13" i="1" s="1"/>
  <c r="M12" i="1"/>
  <c r="J12" i="1"/>
  <c r="N12" i="1" s="1"/>
  <c r="I12" i="1"/>
  <c r="O12" i="1" s="1"/>
  <c r="N11" i="1"/>
  <c r="M11" i="1"/>
  <c r="J11" i="1"/>
  <c r="I11" i="1"/>
  <c r="O11" i="1" s="1"/>
  <c r="N10" i="1"/>
  <c r="M10" i="1"/>
  <c r="J10" i="1"/>
  <c r="I10" i="1"/>
  <c r="O10" i="1" s="1"/>
  <c r="M9" i="1"/>
  <c r="J9" i="1"/>
  <c r="I9" i="1"/>
  <c r="N9" i="1" s="1"/>
  <c r="M8" i="1"/>
  <c r="J8" i="1"/>
  <c r="N8" i="1" s="1"/>
  <c r="I8" i="1"/>
  <c r="O8" i="1" s="1"/>
  <c r="M7" i="1"/>
  <c r="J7" i="1"/>
  <c r="I7" i="1"/>
  <c r="O7" i="1" s="1"/>
  <c r="S50" i="1"/>
  <c r="S51" i="1"/>
  <c r="S54" i="1"/>
  <c r="S56" i="1"/>
  <c r="S52" i="1"/>
  <c r="T22" i="1"/>
  <c r="K7" i="1"/>
  <c r="S57" i="1"/>
  <c r="S49" i="1"/>
  <c r="S48" i="1"/>
  <c r="S55" i="1"/>
  <c r="L7" i="1"/>
  <c r="S53" i="1"/>
  <c r="O9" i="1" l="1"/>
  <c r="N7" i="1"/>
  <c r="N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<sst xmlns="http://schemas.openxmlformats.org/spreadsheetml/2006/main" count="246" uniqueCount="185">
  <si>
    <t>Logical Functions</t>
  </si>
  <si>
    <t>What is Logical Function</t>
  </si>
  <si>
    <t>Usecase</t>
  </si>
  <si>
    <t>Syntax</t>
  </si>
  <si>
    <r>
      <t xml:space="preserve">👉 A </t>
    </r>
    <r>
      <rPr>
        <b/>
        <sz val="11"/>
        <color theme="1"/>
        <rFont val="Calibri"/>
        <family val="2"/>
        <scheme val="minor"/>
      </rPr>
      <t>logical function</t>
    </r>
    <r>
      <rPr>
        <sz val="11"/>
        <color theme="1"/>
        <rFont val="Calibri"/>
        <family val="2"/>
        <scheme val="minor"/>
      </rPr>
      <t xml:space="preserve"> checks if a condition is </t>
    </r>
    <r>
      <rPr>
        <b/>
        <sz val="11"/>
        <color theme="1"/>
        <rFont val="Calibri"/>
        <family val="2"/>
        <scheme val="minor"/>
      </rPr>
      <t>TRUE or FALSE</t>
    </r>
    <r>
      <rPr>
        <sz val="11"/>
        <color theme="1"/>
        <rFont val="Calibri"/>
        <family val="2"/>
        <scheme val="minor"/>
      </rPr>
      <t>.</t>
    </r>
  </si>
  <si>
    <t>if()</t>
  </si>
  <si>
    <t>Basic condition check</t>
  </si>
  <si>
    <t>=IF(condition, value_if_true, value_if_false)</t>
  </si>
  <si>
    <t>Marks (Simple If) if()</t>
  </si>
  <si>
    <t>Status</t>
  </si>
  <si>
    <t>Exact</t>
  </si>
  <si>
    <t>if marks &gt;=35 , Pass,Fail</t>
  </si>
  <si>
    <t>It helps Excel make decisions based on your data.</t>
  </si>
  <si>
    <t>if and()</t>
  </si>
  <si>
    <t>All conditions must be TRUE</t>
  </si>
  <si>
    <t>=AND(condition1, condition2,...)</t>
  </si>
  <si>
    <t>35 Pass</t>
  </si>
  <si>
    <t>Ex: If all subjects pass : Promote</t>
  </si>
  <si>
    <t>if or()</t>
  </si>
  <si>
    <t>At least one condition is TRUE</t>
  </si>
  <si>
    <t>=OR(condition1, condition2,…)</t>
  </si>
  <si>
    <t>&gt;35, Fail</t>
  </si>
  <si>
    <t>If fail : Demote</t>
  </si>
  <si>
    <t>not()</t>
  </si>
  <si>
    <t>Reverse TRUE/FALSE</t>
  </si>
  <si>
    <t>Marks &gt;=35,"Pass","Fail"</t>
  </si>
  <si>
    <t>iferror()</t>
  </si>
  <si>
    <t>Catch and handle errors</t>
  </si>
  <si>
    <t>Marks&lt;=35,"Fail,"Pass"</t>
  </si>
  <si>
    <t>Nested IF</t>
  </si>
  <si>
    <t>if(if())</t>
  </si>
  <si>
    <t>Check multiple conditions step-by-step</t>
  </si>
  <si>
    <t>if and</t>
  </si>
  <si>
    <t>switch</t>
  </si>
  <si>
    <t>Match one value to many options</t>
  </si>
  <si>
    <t>if or</t>
  </si>
  <si>
    <t>ifs()</t>
  </si>
  <si>
    <t>Handle many conditions cleanly</t>
  </si>
  <si>
    <t>if(if(if)))</t>
  </si>
  <si>
    <t>Fail</t>
  </si>
  <si>
    <t>Pass</t>
  </si>
  <si>
    <t xml:space="preserve">swithc </t>
  </si>
  <si>
    <t>Truth Table</t>
  </si>
  <si>
    <t>Condition1</t>
  </si>
  <si>
    <t>Condition2</t>
  </si>
  <si>
    <t>AND</t>
  </si>
  <si>
    <t>OR</t>
  </si>
  <si>
    <t>And, OR</t>
  </si>
  <si>
    <t>IF() --&gt; marks &gt;=35, Pass, Fail</t>
  </si>
  <si>
    <t>Marks</t>
  </si>
  <si>
    <t>Progress</t>
  </si>
  <si>
    <t>if() --&gt; marks &lt;=35, Fail, Pass</t>
  </si>
  <si>
    <t>marks &gt;= 35,Pass, Fail</t>
  </si>
  <si>
    <t>Marks &gt;=35, 1, 0</t>
  </si>
  <si>
    <t>AND() --&gt; s1&gt;=35,s2&gt;=35,Pass,Fail</t>
  </si>
  <si>
    <t>Subject1</t>
  </si>
  <si>
    <t>Subject2</t>
  </si>
  <si>
    <t>S1</t>
  </si>
  <si>
    <t>S2</t>
  </si>
  <si>
    <t>S3</t>
  </si>
  <si>
    <t>Multilpe AND</t>
  </si>
  <si>
    <t>If-AND()</t>
  </si>
  <si>
    <t>AND- BOTH TRUE THEN OUTCOME TRUE ELSE FALSE</t>
  </si>
  <si>
    <t>S1 35</t>
  </si>
  <si>
    <t>OR() --&gt; either of the subjects &gt;=35 then Pass else fail</t>
  </si>
  <si>
    <t>if-or</t>
  </si>
  <si>
    <t>Multiple ORs</t>
  </si>
  <si>
    <t>If-OR()</t>
  </si>
  <si>
    <t>Atleast one condition true then outcome will be true</t>
  </si>
  <si>
    <t>Ifs()</t>
  </si>
  <si>
    <t>IF()</t>
  </si>
  <si>
    <t>id(if(if))) --&gt; nested IF</t>
  </si>
  <si>
    <t>IFS()</t>
  </si>
  <si>
    <t>Switch</t>
  </si>
  <si>
    <t>90+: "A+"</t>
  </si>
  <si>
    <t>75-89: A</t>
  </si>
  <si>
    <t>60-74: B</t>
  </si>
  <si>
    <t>35-59: C</t>
  </si>
  <si>
    <t>Below 35: F</t>
  </si>
  <si>
    <t>A+ : Outstanding</t>
  </si>
  <si>
    <t>A : Excellent</t>
  </si>
  <si>
    <t>B : Good</t>
  </si>
  <si>
    <t>C : Average</t>
  </si>
  <si>
    <t>F : Needs Improvement</t>
  </si>
  <si>
    <t>Condition</t>
  </si>
  <si>
    <t>Cut Off</t>
  </si>
  <si>
    <t>Name</t>
  </si>
  <si>
    <t>Subject 1</t>
  </si>
  <si>
    <t>Subject 2</t>
  </si>
  <si>
    <t>Subject 3</t>
  </si>
  <si>
    <t>Result</t>
  </si>
  <si>
    <t>Avg</t>
  </si>
  <si>
    <t>Remarks</t>
  </si>
  <si>
    <t>Grade</t>
  </si>
  <si>
    <t>If result = Fail, Need improvement</t>
  </si>
  <si>
    <t>Alice</t>
  </si>
  <si>
    <t>if Pass and avg &gt;=75,"Excellent","Satisfactory"</t>
  </si>
  <si>
    <t>Bob</t>
  </si>
  <si>
    <t>Charlie</t>
  </si>
  <si>
    <t>Excellent --&gt;A</t>
  </si>
  <si>
    <t>Diana</t>
  </si>
  <si>
    <t>Saisfactory --&gt; B</t>
  </si>
  <si>
    <t>Edward</t>
  </si>
  <si>
    <t>Need Improvement --&gt; F</t>
  </si>
  <si>
    <t>if my rseult is pass and avg&gt;=75 then excellent if not satisfactory</t>
  </si>
  <si>
    <t>&gt;=75</t>
  </si>
  <si>
    <t>&gt;=75, ecellent</t>
  </si>
  <si>
    <t>&lt;75, satisfactory</t>
  </si>
  <si>
    <t>atleast one subject is greater than 35 then he is pass or else fail</t>
  </si>
  <si>
    <t xml:space="preserve">Progress </t>
  </si>
  <si>
    <t>Emp_ID</t>
  </si>
  <si>
    <t>Region</t>
  </si>
  <si>
    <t>Department</t>
  </si>
  <si>
    <t>Sales</t>
  </si>
  <si>
    <t>Target</t>
  </si>
  <si>
    <t>Attendance %</t>
  </si>
  <si>
    <t>Experience (Years)</t>
  </si>
  <si>
    <t>Rating</t>
  </si>
  <si>
    <t>Leave Days</t>
  </si>
  <si>
    <t>Monthly Calls</t>
  </si>
  <si>
    <t>Feedback Score</t>
  </si>
  <si>
    <t>Target Achieved or Not</t>
  </si>
  <si>
    <t>Attendance Achieved or Not</t>
  </si>
  <si>
    <t>Sales Bucket</t>
  </si>
  <si>
    <t>Incentive Eligibility</t>
  </si>
  <si>
    <t>Top Performer Tag</t>
  </si>
  <si>
    <t>Risk Employee</t>
  </si>
  <si>
    <t>E101</t>
  </si>
  <si>
    <t>Asha</t>
  </si>
  <si>
    <t>South</t>
  </si>
  <si>
    <t>Retail</t>
  </si>
  <si>
    <t>E102</t>
  </si>
  <si>
    <t>Ravi</t>
  </si>
  <si>
    <t>North</t>
  </si>
  <si>
    <t>Corporate</t>
  </si>
  <si>
    <t>E103</t>
  </si>
  <si>
    <t>Kiran</t>
  </si>
  <si>
    <t>E104</t>
  </si>
  <si>
    <t>Neha</t>
  </si>
  <si>
    <t>East</t>
  </si>
  <si>
    <t>Support</t>
  </si>
  <si>
    <t>E105</t>
  </si>
  <si>
    <t>Arjun</t>
  </si>
  <si>
    <t>West</t>
  </si>
  <si>
    <t>E106</t>
  </si>
  <si>
    <t>Divya</t>
  </si>
  <si>
    <t>E107</t>
  </si>
  <si>
    <t>Manoj</t>
  </si>
  <si>
    <t>E108</t>
  </si>
  <si>
    <t>Sneha</t>
  </si>
  <si>
    <t>E109</t>
  </si>
  <si>
    <t>Pooja</t>
  </si>
  <si>
    <t>E110</t>
  </si>
  <si>
    <t>Rohit</t>
  </si>
  <si>
    <t>E111</t>
  </si>
  <si>
    <t>Vikram</t>
  </si>
  <si>
    <t>E112</t>
  </si>
  <si>
    <t>Meena</t>
  </si>
  <si>
    <t>E113</t>
  </si>
  <si>
    <t>Karthik</t>
  </si>
  <si>
    <t>E114</t>
  </si>
  <si>
    <t>Anjali</t>
  </si>
  <si>
    <t>E115</t>
  </si>
  <si>
    <t>Suresh</t>
  </si>
  <si>
    <t>Check if employee achieved target</t>
  </si>
  <si>
    <t>Identify employees with attendance &lt; 85%</t>
  </si>
  <si>
    <t>Classify Sales:</t>
  </si>
  <si>
    <t>120000 → High</t>
  </si>
  <si>
    <t>80000–120000 → Medium</t>
  </si>
  <si>
    <t>&lt;80000 → Low</t>
  </si>
  <si>
    <t>Sales ≥ Target</t>
  </si>
  <si>
    <t>Attendance ≥ 90%</t>
  </si>
  <si>
    <t>Leave Days ≤ 3</t>
  </si>
  <si>
    <t>Rating ≥ 4.5</t>
  </si>
  <si>
    <t>Feedback ≥ 4.5</t>
  </si>
  <si>
    <t>Calls ≥ 120</t>
  </si>
  <si>
    <t>Attendance &lt; 80%</t>
  </si>
  <si>
    <t>Rating &lt; 3</t>
  </si>
  <si>
    <t>Sales &lt; 60000</t>
  </si>
  <si>
    <t>Performance level based on rating</t>
  </si>
  <si>
    <t>≥4.5 → Excellent</t>
  </si>
  <si>
    <t>≥4 → Good</t>
  </si>
  <si>
    <t>Else → Average</t>
  </si>
  <si>
    <t>IF AND()</t>
  </si>
  <si>
    <t>Performance level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</si>
</sst>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theme="5" tint="-0.249977111117893"/>
      </left>
      <right/>
      <top style="medium">
        <color theme="5" tint="-0.249977111117893"/>
      </top>
      <bottom/>
      <diagonal/>
    </border>
    <border>
      <left/>
      <right/>
      <top style="medium">
        <color theme="5" tint="-0.249977111117893"/>
      </top>
      <bottom/>
      <diagonal/>
    </border>
    <border>
      <left/>
      <right style="thin">
        <color theme="5" tint="-0.249977111117893"/>
      </right>
      <top style="medium">
        <color theme="5" tint="-0.249977111117893"/>
      </top>
      <bottom/>
      <diagonal/>
    </border>
    <border>
      <left style="thin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thin">
        <color theme="5" tint="-0.249977111117893"/>
      </bottom>
      <diagonal/>
    </border>
    <border>
      <left style="medium">
        <color theme="5" tint="-0.249977111117893"/>
      </left>
      <right/>
      <top/>
      <bottom style="medium">
        <color theme="5" tint="-0.249977111117893"/>
      </bottom>
      <diagonal/>
    </border>
    <border>
      <left/>
      <right/>
      <top/>
      <bottom style="medium">
        <color theme="5" tint="-0.249977111117893"/>
      </bottom>
      <diagonal/>
    </border>
    <border>
      <left/>
      <right style="thin">
        <color theme="5" tint="-0.249977111117893"/>
      </right>
      <top/>
      <bottom style="medium">
        <color theme="5" tint="-0.249977111117893"/>
      </bottom>
      <diagonal/>
    </border>
    <border>
      <left style="thin">
        <color theme="5" tint="-0.249977111117893"/>
      </left>
      <right style="medium">
        <color theme="5" tint="-0.249977111117893"/>
      </right>
      <top style="thin">
        <color theme="5" tint="-0.249977111117893"/>
      </top>
      <bottom style="medium">
        <color theme="5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/>
    <xf numFmtId="0" fontId="3" fillId="2" borderId="6" xfId="0" applyFont="1" applyFill="1" applyBorder="1" applyAlignment="1">
      <alignment horizontal="center"/>
    </xf>
    <xf numFmtId="0" fontId="3" fillId="2" borderId="8" xfId="0" applyFont="1" applyFill="1" applyBorder="1"/>
    <xf numFmtId="0" fontId="2" fillId="3" borderId="9" xfId="0" applyFont="1" applyFill="1" applyBorder="1"/>
    <xf numFmtId="0" fontId="0" fillId="0" borderId="9" xfId="0" applyBorder="1"/>
    <xf numFmtId="0" fontId="0" fillId="0" borderId="9" xfId="0" applyBorder="1" applyAlignment="1">
      <alignment horizontal="left" vertical="center"/>
    </xf>
    <xf numFmtId="0" fontId="0" fillId="0" borderId="9" xfId="0" quotePrefix="1" applyBorder="1"/>
    <xf numFmtId="0" fontId="2" fillId="4" borderId="10" xfId="0" applyFont="1" applyFill="1" applyBorder="1"/>
    <xf numFmtId="0" fontId="2" fillId="4" borderId="0" xfId="0" applyFont="1" applyFill="1"/>
    <xf numFmtId="0" fontId="0" fillId="0" borderId="10" xfId="0" applyBorder="1"/>
    <xf numFmtId="0" fontId="2" fillId="3" borderId="9" xfId="0" applyFont="1" applyFill="1" applyBorder="1" applyAlignment="1">
      <alignment horizontal="left" vertical="center"/>
    </xf>
    <xf numFmtId="0" fontId="2" fillId="3" borderId="11" xfId="0" applyFont="1" applyFill="1" applyBorder="1"/>
    <xf numFmtId="0" fontId="2" fillId="5" borderId="0" xfId="0" applyFont="1" applyFill="1"/>
    <xf numFmtId="0" fontId="2" fillId="3" borderId="10" xfId="0" applyFont="1" applyFill="1" applyBorder="1"/>
    <xf numFmtId="0" fontId="0" fillId="0" borderId="12" xfId="0" applyBorder="1"/>
    <xf numFmtId="0" fontId="0" fillId="6" borderId="10" xfId="0" applyFill="1" applyBorder="1"/>
    <xf numFmtId="0" fontId="0" fillId="0" borderId="0" xfId="0" quotePrefix="1"/>
    <xf numFmtId="0" fontId="2" fillId="7" borderId="10" xfId="0" applyFont="1" applyFill="1" applyBorder="1"/>
    <xf numFmtId="0" fontId="2" fillId="3" borderId="10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0" fillId="8" borderId="0" xfId="0" applyFill="1"/>
    <xf numFmtId="0" fontId="0" fillId="0" borderId="10" xfId="0" applyBorder="1" applyAlignment="1">
      <alignment vertical="center" wrapText="1"/>
    </xf>
    <xf numFmtId="1" fontId="0" fillId="0" borderId="10" xfId="0" applyNumberFormat="1" applyBorder="1" applyAlignment="1">
      <alignment vertical="center" wrapText="1"/>
    </xf>
    <xf numFmtId="0" fontId="0" fillId="7" borderId="0" xfId="0" applyFill="1"/>
    <xf numFmtId="0" fontId="2" fillId="3" borderId="15" xfId="0" applyFont="1" applyFill="1" applyBorder="1"/>
    <xf numFmtId="0" fontId="0" fillId="0" borderId="15" xfId="0" applyBorder="1"/>
    <xf numFmtId="0" fontId="0" fillId="0" borderId="16" xfId="0" applyBorder="1"/>
    <xf numFmtId="0" fontId="2" fillId="9" borderId="14" xfId="0" applyFont="1" applyFill="1" applyBorder="1"/>
    <xf numFmtId="0" fontId="2" fillId="9" borderId="17" xfId="0" applyFont="1" applyFill="1" applyBorder="1"/>
    <xf numFmtId="9" fontId="0" fillId="0" borderId="10" xfId="1" applyFont="1" applyBorder="1"/>
    <xf numFmtId="0" fontId="0" fillId="0" borderId="10" xfId="0" applyBorder="1" applyAlignment="1">
      <alignment horizontal="left" vertical="center" indent="2"/>
    </xf>
    <xf numFmtId="0" fontId="0" fillId="0" borderId="10" xfId="0" applyBorder="1" applyAlignment="1">
      <alignment horizontal="left" vertical="center" inden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microsoft.com/office/2017/10/relationships/person" Target="persons/perso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Xtream%20Tech%20Classes\Excel%20Practise%20Files\Apr3rd_Excel11am.xlsx" TargetMode="External"/><Relationship Id="rId1" Type="http://schemas.openxmlformats.org/officeDocument/2006/relationships/externalLinkPath" Target="file:///D:\Xtream%20Tech%20Classes\Excel%20Practise%20Files\Apr3rd_Excel11a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Xtream%20Tech%20Classes\Others\28th_July_IFS_IF.xlsx" TargetMode="External"/><Relationship Id="rId1" Type="http://schemas.openxmlformats.org/officeDocument/2006/relationships/externalLinkPath" Target="file:///D:\Xtream%20Tech%20Classes\Others\28th_July_IFS_IF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Xtream%20Tech%20Classes\Morning%2011am%20Batch\Day2.xlsx" TargetMode="External"/><Relationship Id="rId1" Type="http://schemas.openxmlformats.org/officeDocument/2006/relationships/externalLinkPath" Target="file:///D:\Xtream%20Tech%20Classes\Morning%2011am%20Batch\Day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ation_Func"/>
      <sheetName val="Text_Func_Assignment"/>
      <sheetName val="Text Notes"/>
      <sheetName val="Types of Errors (2)"/>
      <sheetName val="Text Functions"/>
      <sheetName val="Types of Errors"/>
      <sheetName val="Count WorkSheet"/>
      <sheetName val="Logical Functions"/>
      <sheetName val="Name Range"/>
      <sheetName val="Freezing Techniques"/>
      <sheetName val="Sumifs Data"/>
      <sheetName val="Assignment"/>
      <sheetName val="Dummy 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E5" t="str">
            <v>Amit</v>
          </cell>
          <cell r="F5" t="str">
            <v>West</v>
          </cell>
          <cell r="G5" t="str">
            <v>Kiran</v>
          </cell>
          <cell r="H5" t="str">
            <v>Grocery</v>
          </cell>
          <cell r="I5" t="str">
            <v>Rice</v>
          </cell>
          <cell r="J5">
            <v>3000</v>
          </cell>
        </row>
        <row r="6">
          <cell r="E6" t="str">
            <v>Rahul</v>
          </cell>
          <cell r="F6" t="str">
            <v>North</v>
          </cell>
          <cell r="G6" t="str">
            <v>Amit</v>
          </cell>
          <cell r="H6" t="str">
            <v>Electronics</v>
          </cell>
          <cell r="I6" t="str">
            <v>Mobile</v>
          </cell>
          <cell r="J6">
            <v>15000</v>
          </cell>
        </row>
        <row r="7">
          <cell r="E7" t="str">
            <v>Sneha</v>
          </cell>
          <cell r="F7" t="str">
            <v>South</v>
          </cell>
          <cell r="G7" t="str">
            <v>Kiran</v>
          </cell>
          <cell r="H7" t="str">
            <v>Grocery</v>
          </cell>
          <cell r="I7" t="str">
            <v>Sugar</v>
          </cell>
          <cell r="J7">
            <v>1800</v>
          </cell>
        </row>
        <row r="8">
          <cell r="E8" t="str">
            <v>Sneha</v>
          </cell>
          <cell r="F8" t="str">
            <v>South</v>
          </cell>
          <cell r="G8" t="str">
            <v>Ravi</v>
          </cell>
          <cell r="H8" t="str">
            <v>Clothing</v>
          </cell>
          <cell r="I8" t="str">
            <v>Shirt</v>
          </cell>
          <cell r="J8">
            <v>2000</v>
          </cell>
        </row>
        <row r="9">
          <cell r="E9" t="str">
            <v>Priya</v>
          </cell>
          <cell r="F9" t="str">
            <v>East</v>
          </cell>
          <cell r="G9" t="str">
            <v>Ravi</v>
          </cell>
          <cell r="H9" t="str">
            <v>Electronics</v>
          </cell>
          <cell r="I9" t="str">
            <v>TV</v>
          </cell>
          <cell r="J9">
            <v>30000</v>
          </cell>
        </row>
        <row r="10">
          <cell r="E10" t="str">
            <v>Rahul</v>
          </cell>
          <cell r="F10" t="str">
            <v>North</v>
          </cell>
          <cell r="G10" t="str">
            <v>Neha</v>
          </cell>
          <cell r="H10" t="str">
            <v>Electronics</v>
          </cell>
          <cell r="I10" t="str">
            <v>Laptop</v>
          </cell>
          <cell r="J10">
            <v>55000</v>
          </cell>
        </row>
        <row r="11">
          <cell r="E11" t="str">
            <v>Amit</v>
          </cell>
          <cell r="F11" t="str">
            <v>West</v>
          </cell>
          <cell r="G11" t="str">
            <v>Neha</v>
          </cell>
          <cell r="H11" t="str">
            <v>Clothing</v>
          </cell>
          <cell r="I11" t="str">
            <v>Dress</v>
          </cell>
          <cell r="J11">
            <v>5000</v>
          </cell>
        </row>
        <row r="12">
          <cell r="E12" t="str">
            <v>Rahul</v>
          </cell>
          <cell r="F12" t="str">
            <v>North</v>
          </cell>
          <cell r="G12" t="str">
            <v>Amit</v>
          </cell>
          <cell r="H12" t="str">
            <v>Electronics</v>
          </cell>
          <cell r="I12" t="str">
            <v>Mobile</v>
          </cell>
          <cell r="J12">
            <v>15000</v>
          </cell>
        </row>
        <row r="13">
          <cell r="E13" t="str">
            <v>Priya</v>
          </cell>
          <cell r="F13" t="str">
            <v>East</v>
          </cell>
          <cell r="G13" t="str">
            <v>Amit</v>
          </cell>
          <cell r="H13" t="str">
            <v>Electronics</v>
          </cell>
          <cell r="I13" t="str">
            <v>Mobile</v>
          </cell>
          <cell r="J13">
            <v>15000</v>
          </cell>
        </row>
        <row r="14">
          <cell r="E14" t="str">
            <v>Sneha</v>
          </cell>
          <cell r="F14" t="str">
            <v>South</v>
          </cell>
          <cell r="G14" t="str">
            <v>Priya</v>
          </cell>
          <cell r="H14" t="str">
            <v>Clothing</v>
          </cell>
          <cell r="I14" t="str">
            <v>Dress</v>
          </cell>
          <cell r="J14">
            <v>4000</v>
          </cell>
        </row>
        <row r="15">
          <cell r="E15" t="str">
            <v>Rahul</v>
          </cell>
          <cell r="F15" t="str">
            <v>North</v>
          </cell>
          <cell r="G15" t="str">
            <v>Amit</v>
          </cell>
          <cell r="H15" t="str">
            <v>Clothing</v>
          </cell>
          <cell r="I15" t="str">
            <v>Dress</v>
          </cell>
          <cell r="J15">
            <v>1500</v>
          </cell>
        </row>
        <row r="16">
          <cell r="E16" t="str">
            <v>Amit</v>
          </cell>
          <cell r="F16" t="str">
            <v>West</v>
          </cell>
          <cell r="G16" t="str">
            <v>Neha</v>
          </cell>
          <cell r="H16" t="str">
            <v>Grocery</v>
          </cell>
          <cell r="I16" t="str">
            <v>Wheat</v>
          </cell>
          <cell r="J16">
            <v>3500</v>
          </cell>
        </row>
        <row r="17">
          <cell r="E17" t="str">
            <v>Sneha</v>
          </cell>
          <cell r="F17" t="str">
            <v>South</v>
          </cell>
          <cell r="G17" t="str">
            <v>Ravi</v>
          </cell>
          <cell r="H17" t="str">
            <v>Clothing</v>
          </cell>
          <cell r="I17" t="str">
            <v>Dress</v>
          </cell>
          <cell r="J17">
            <v>2000</v>
          </cell>
        </row>
        <row r="18">
          <cell r="E18" t="str">
            <v>Priya</v>
          </cell>
          <cell r="F18" t="str">
            <v>East</v>
          </cell>
          <cell r="G18" t="str">
            <v>Ravi</v>
          </cell>
          <cell r="H18" t="str">
            <v>Electronics</v>
          </cell>
          <cell r="I18" t="str">
            <v>TV</v>
          </cell>
          <cell r="J18">
            <v>30000</v>
          </cell>
        </row>
        <row r="19">
          <cell r="E19" t="str">
            <v>Amit</v>
          </cell>
          <cell r="F19" t="str">
            <v>West</v>
          </cell>
          <cell r="G19" t="str">
            <v>Kiran</v>
          </cell>
          <cell r="H19" t="str">
            <v>Grocery</v>
          </cell>
          <cell r="I19" t="str">
            <v>Rice</v>
          </cell>
          <cell r="J19">
            <v>3000</v>
          </cell>
        </row>
        <row r="20">
          <cell r="E20" t="str">
            <v>Rahul</v>
          </cell>
          <cell r="F20" t="str">
            <v>North</v>
          </cell>
          <cell r="G20" t="str">
            <v>Neha</v>
          </cell>
          <cell r="H20" t="str">
            <v>Electronics</v>
          </cell>
          <cell r="I20" t="str">
            <v>Mobile</v>
          </cell>
          <cell r="J20">
            <v>15000</v>
          </cell>
        </row>
        <row r="21">
          <cell r="E21" t="str">
            <v>Sneha</v>
          </cell>
          <cell r="F21" t="str">
            <v>South</v>
          </cell>
          <cell r="G21" t="str">
            <v>Ravi</v>
          </cell>
          <cell r="H21" t="str">
            <v>Clothing</v>
          </cell>
          <cell r="I21" t="str">
            <v>Dress</v>
          </cell>
          <cell r="J21">
            <v>7000</v>
          </cell>
        </row>
        <row r="22">
          <cell r="E22" t="str">
            <v>Amit</v>
          </cell>
          <cell r="F22" t="str">
            <v>West</v>
          </cell>
          <cell r="G22" t="str">
            <v>Kiran</v>
          </cell>
          <cell r="H22" t="str">
            <v>Grocery</v>
          </cell>
          <cell r="I22" t="str">
            <v>Oil</v>
          </cell>
          <cell r="J22">
            <v>2500</v>
          </cell>
        </row>
        <row r="23">
          <cell r="E23" t="str">
            <v>Priya</v>
          </cell>
          <cell r="F23" t="str">
            <v>East</v>
          </cell>
          <cell r="G23" t="str">
            <v>Amit</v>
          </cell>
          <cell r="H23" t="str">
            <v>Electronics</v>
          </cell>
          <cell r="I23" t="str">
            <v>Tablet</v>
          </cell>
          <cell r="J23">
            <v>12000</v>
          </cell>
        </row>
        <row r="24">
          <cell r="E24" t="str">
            <v>Rahul</v>
          </cell>
          <cell r="F24" t="str">
            <v>North</v>
          </cell>
          <cell r="G24" t="str">
            <v>Amit</v>
          </cell>
          <cell r="H24" t="str">
            <v>Electronics</v>
          </cell>
          <cell r="I24" t="str">
            <v>Laptop</v>
          </cell>
          <cell r="J24">
            <v>55000</v>
          </cell>
        </row>
        <row r="25">
          <cell r="E25" t="str">
            <v>Sneha</v>
          </cell>
          <cell r="F25" t="str">
            <v>South</v>
          </cell>
          <cell r="G25" t="str">
            <v>Priya</v>
          </cell>
          <cell r="H25" t="str">
            <v>Clothing</v>
          </cell>
          <cell r="I25" t="str">
            <v>Dress</v>
          </cell>
          <cell r="J25">
            <v>5000</v>
          </cell>
        </row>
        <row r="26">
          <cell r="E26" t="str">
            <v>Amit</v>
          </cell>
          <cell r="F26" t="str">
            <v>West</v>
          </cell>
          <cell r="G26" t="str">
            <v>Neha</v>
          </cell>
          <cell r="H26" t="str">
            <v>Grocery</v>
          </cell>
          <cell r="I26" t="str">
            <v>Rice</v>
          </cell>
          <cell r="J26">
            <v>3000</v>
          </cell>
        </row>
        <row r="27">
          <cell r="E27" t="str">
            <v>Priya</v>
          </cell>
          <cell r="F27" t="str">
            <v>East</v>
          </cell>
          <cell r="G27" t="str">
            <v>Ravi</v>
          </cell>
          <cell r="H27" t="str">
            <v>Electronics</v>
          </cell>
          <cell r="I27" t="str">
            <v>Camera</v>
          </cell>
          <cell r="J27">
            <v>25000</v>
          </cell>
        </row>
        <row r="28">
          <cell r="E28" t="str">
            <v>Rahul</v>
          </cell>
          <cell r="F28" t="str">
            <v>North</v>
          </cell>
          <cell r="G28" t="str">
            <v>Amit</v>
          </cell>
          <cell r="H28" t="str">
            <v>Clothing</v>
          </cell>
          <cell r="I28" t="str">
            <v>Shirt</v>
          </cell>
          <cell r="J28">
            <v>2000</v>
          </cell>
        </row>
        <row r="29">
          <cell r="E29" t="str">
            <v>Sneha</v>
          </cell>
          <cell r="F29" t="str">
            <v>South</v>
          </cell>
          <cell r="G29" t="str">
            <v>Kiran</v>
          </cell>
          <cell r="H29" t="str">
            <v>Grocery</v>
          </cell>
          <cell r="I29" t="str">
            <v>Wheat</v>
          </cell>
          <cell r="J29">
            <v>3500</v>
          </cell>
        </row>
        <row r="30">
          <cell r="E30" t="str">
            <v>Amit</v>
          </cell>
          <cell r="F30" t="str">
            <v>West</v>
          </cell>
          <cell r="G30" t="str">
            <v>Ravi</v>
          </cell>
          <cell r="H30" t="str">
            <v>Clothing</v>
          </cell>
          <cell r="I30" t="str">
            <v>Jeans</v>
          </cell>
          <cell r="J30">
            <v>4000</v>
          </cell>
        </row>
        <row r="31">
          <cell r="E31" t="str">
            <v>Priya</v>
          </cell>
          <cell r="F31" t="str">
            <v>East</v>
          </cell>
          <cell r="G31" t="str">
            <v>Neha</v>
          </cell>
          <cell r="H31" t="str">
            <v>Electronics</v>
          </cell>
          <cell r="I31" t="str">
            <v>Headphones</v>
          </cell>
          <cell r="J31">
            <v>2000</v>
          </cell>
        </row>
        <row r="32">
          <cell r="E32" t="str">
            <v>Rahul</v>
          </cell>
          <cell r="F32" t="str">
            <v>North</v>
          </cell>
          <cell r="G32" t="str">
            <v>Amit</v>
          </cell>
          <cell r="H32" t="str">
            <v>Grocery</v>
          </cell>
          <cell r="I32" t="str">
            <v>Sugar</v>
          </cell>
          <cell r="J32">
            <v>1800</v>
          </cell>
        </row>
        <row r="33">
          <cell r="E33" t="str">
            <v>Sneha</v>
          </cell>
          <cell r="F33" t="str">
            <v>South</v>
          </cell>
          <cell r="G33" t="str">
            <v>Ravi</v>
          </cell>
          <cell r="H33" t="str">
            <v>Clothing</v>
          </cell>
          <cell r="I33" t="str">
            <v>T-shirt</v>
          </cell>
          <cell r="J33">
            <v>1500</v>
          </cell>
        </row>
        <row r="34">
          <cell r="E34" t="str">
            <v>Amit</v>
          </cell>
          <cell r="F34" t="str">
            <v>West</v>
          </cell>
          <cell r="G34" t="str">
            <v>Kiran</v>
          </cell>
          <cell r="H34" t="str">
            <v>Grocery</v>
          </cell>
          <cell r="I34" t="str">
            <v>Oil</v>
          </cell>
          <cell r="J34">
            <v>2500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Sheet2"/>
      <sheetName val="Worksheet"/>
      <sheetName val="Sheet3"/>
      <sheetName val="Count WorkSheet"/>
    </sheetNames>
    <sheetDataSet>
      <sheetData sheetId="0"/>
      <sheetData sheetId="1"/>
      <sheetData sheetId="2">
        <row r="6">
          <cell r="C6">
            <v>45500</v>
          </cell>
          <cell r="D6" t="str">
            <v>Alice</v>
          </cell>
        </row>
        <row r="7">
          <cell r="C7">
            <v>45510</v>
          </cell>
          <cell r="D7" t="str">
            <v>Alice</v>
          </cell>
        </row>
        <row r="8">
          <cell r="C8">
            <v>45726</v>
          </cell>
          <cell r="D8" t="str">
            <v>David</v>
          </cell>
        </row>
        <row r="9">
          <cell r="C9">
            <v>45775</v>
          </cell>
          <cell r="D9" t="str">
            <v>Charlie</v>
          </cell>
        </row>
        <row r="10">
          <cell r="C10">
            <v>45721</v>
          </cell>
          <cell r="D10" t="str">
            <v>Grace</v>
          </cell>
        </row>
        <row r="11">
          <cell r="C11">
            <v>45720</v>
          </cell>
          <cell r="D11" t="str">
            <v>Bob</v>
          </cell>
        </row>
        <row r="12">
          <cell r="C12">
            <v>45515</v>
          </cell>
          <cell r="D12" t="str">
            <v>Alice</v>
          </cell>
        </row>
        <row r="13">
          <cell r="C13">
            <v>45651</v>
          </cell>
          <cell r="D13" t="str">
            <v>Grace</v>
          </cell>
        </row>
        <row r="14">
          <cell r="C14">
            <v>45536</v>
          </cell>
          <cell r="D14" t="str">
            <v>Charlie</v>
          </cell>
        </row>
        <row r="15">
          <cell r="C15">
            <v>45530</v>
          </cell>
          <cell r="D15" t="str">
            <v>Alice</v>
          </cell>
        </row>
        <row r="16">
          <cell r="C16">
            <v>45727</v>
          </cell>
          <cell r="D16" t="str">
            <v>Bob</v>
          </cell>
        </row>
        <row r="17">
          <cell r="C17">
            <v>45855</v>
          </cell>
          <cell r="D17" t="str">
            <v>Bob</v>
          </cell>
        </row>
        <row r="18">
          <cell r="C18">
            <v>45819</v>
          </cell>
          <cell r="D18" t="str">
            <v>Grace</v>
          </cell>
        </row>
        <row r="19">
          <cell r="C19">
            <v>45545</v>
          </cell>
          <cell r="D19" t="str">
            <v>Alice</v>
          </cell>
        </row>
        <row r="20">
          <cell r="C20">
            <v>45549</v>
          </cell>
          <cell r="D20" t="str">
            <v>Alice</v>
          </cell>
        </row>
        <row r="21">
          <cell r="C21">
            <v>45674</v>
          </cell>
          <cell r="D21" t="str">
            <v>Bob</v>
          </cell>
        </row>
        <row r="22">
          <cell r="C22">
            <v>45830</v>
          </cell>
          <cell r="D22" t="str">
            <v>Grace</v>
          </cell>
        </row>
        <row r="23">
          <cell r="C23">
            <v>45789</v>
          </cell>
          <cell r="D23" t="str">
            <v>David</v>
          </cell>
        </row>
        <row r="24">
          <cell r="C24">
            <v>45716</v>
          </cell>
          <cell r="D24" t="str">
            <v>Hannah</v>
          </cell>
        </row>
        <row r="25">
          <cell r="C25">
            <v>45498</v>
          </cell>
          <cell r="D25" t="str">
            <v>Eva</v>
          </cell>
        </row>
        <row r="26">
          <cell r="C26">
            <v>45560</v>
          </cell>
          <cell r="D26" t="str">
            <v>Charlie</v>
          </cell>
        </row>
        <row r="27">
          <cell r="C27">
            <v>45561</v>
          </cell>
          <cell r="D27" t="str">
            <v>David</v>
          </cell>
        </row>
        <row r="28">
          <cell r="C28">
            <v>45651</v>
          </cell>
          <cell r="D28" t="str">
            <v>Frank</v>
          </cell>
        </row>
        <row r="29">
          <cell r="C29">
            <v>45704</v>
          </cell>
          <cell r="D29" t="str">
            <v>Charlie</v>
          </cell>
        </row>
        <row r="30">
          <cell r="C30">
            <v>45813</v>
          </cell>
          <cell r="D30" t="str">
            <v>David</v>
          </cell>
        </row>
        <row r="31">
          <cell r="C31">
            <v>45507</v>
          </cell>
          <cell r="D31" t="str">
            <v>Grace</v>
          </cell>
        </row>
        <row r="32">
          <cell r="C32">
            <v>45579</v>
          </cell>
          <cell r="D32" t="str">
            <v>Alice</v>
          </cell>
        </row>
        <row r="33">
          <cell r="C33">
            <v>45747</v>
          </cell>
          <cell r="D33" t="str">
            <v>David</v>
          </cell>
        </row>
        <row r="34">
          <cell r="C34">
            <v>45511</v>
          </cell>
          <cell r="D34" t="str">
            <v>Eva</v>
          </cell>
        </row>
        <row r="35">
          <cell r="C35">
            <v>45589</v>
          </cell>
          <cell r="D35" t="str">
            <v>Alice</v>
          </cell>
        </row>
        <row r="36">
          <cell r="C36">
            <v>45501</v>
          </cell>
          <cell r="D36" t="str">
            <v>Grace</v>
          </cell>
        </row>
        <row r="37">
          <cell r="C37">
            <v>45855</v>
          </cell>
          <cell r="D37" t="str">
            <v>Frank</v>
          </cell>
        </row>
        <row r="38">
          <cell r="C38">
            <v>45618</v>
          </cell>
          <cell r="D38" t="str">
            <v>Alice</v>
          </cell>
        </row>
        <row r="39">
          <cell r="C39">
            <v>45675</v>
          </cell>
          <cell r="D39" t="str">
            <v>Bob</v>
          </cell>
        </row>
        <row r="40">
          <cell r="C40">
            <v>45685</v>
          </cell>
          <cell r="D40" t="str">
            <v>Hannah</v>
          </cell>
        </row>
        <row r="41">
          <cell r="C41">
            <v>45522</v>
          </cell>
          <cell r="D41" t="str">
            <v>Grace</v>
          </cell>
        </row>
        <row r="42">
          <cell r="C42">
            <v>45642</v>
          </cell>
          <cell r="D42" t="str">
            <v>Alice</v>
          </cell>
        </row>
        <row r="43">
          <cell r="C43">
            <v>45645</v>
          </cell>
          <cell r="D43" t="str">
            <v>Alice</v>
          </cell>
        </row>
        <row r="44">
          <cell r="C44">
            <v>45503</v>
          </cell>
          <cell r="D44" t="str">
            <v>Frank</v>
          </cell>
        </row>
        <row r="45">
          <cell r="C45">
            <v>45850</v>
          </cell>
          <cell r="D45" t="str">
            <v>Charlie</v>
          </cell>
        </row>
        <row r="46">
          <cell r="C46">
            <v>45534</v>
          </cell>
          <cell r="D46" t="str">
            <v>Eva</v>
          </cell>
        </row>
        <row r="47">
          <cell r="C47">
            <v>45555</v>
          </cell>
          <cell r="D47" t="str">
            <v>Frank</v>
          </cell>
        </row>
        <row r="48">
          <cell r="C48">
            <v>45538</v>
          </cell>
          <cell r="D48" t="str">
            <v>Eva</v>
          </cell>
        </row>
        <row r="49">
          <cell r="C49">
            <v>45735</v>
          </cell>
          <cell r="D49" t="str">
            <v>Hannah</v>
          </cell>
        </row>
        <row r="50">
          <cell r="C50">
            <v>45544</v>
          </cell>
          <cell r="D50" t="str">
            <v>Eva</v>
          </cell>
        </row>
        <row r="51">
          <cell r="C51">
            <v>45634</v>
          </cell>
          <cell r="D51" t="str">
            <v>David</v>
          </cell>
        </row>
        <row r="52">
          <cell r="C52">
            <v>45679</v>
          </cell>
          <cell r="D52" t="str">
            <v>Bob</v>
          </cell>
        </row>
        <row r="53">
          <cell r="C53">
            <v>45504</v>
          </cell>
          <cell r="D53" t="str">
            <v>Bob</v>
          </cell>
        </row>
        <row r="54">
          <cell r="C54">
            <v>45645</v>
          </cell>
          <cell r="D54" t="str">
            <v>Alice</v>
          </cell>
        </row>
        <row r="55">
          <cell r="C55">
            <v>45646</v>
          </cell>
          <cell r="D55" t="str">
            <v>Alice</v>
          </cell>
        </row>
        <row r="56">
          <cell r="C56">
            <v>45653</v>
          </cell>
          <cell r="D56" t="str">
            <v>Charlie</v>
          </cell>
        </row>
        <row r="57">
          <cell r="C57">
            <v>45765</v>
          </cell>
          <cell r="D57" t="str">
            <v>David</v>
          </cell>
        </row>
        <row r="58">
          <cell r="C58">
            <v>45681</v>
          </cell>
          <cell r="D58" t="str">
            <v>Bob</v>
          </cell>
        </row>
        <row r="59">
          <cell r="C59">
            <v>45658</v>
          </cell>
          <cell r="D59" t="str">
            <v>Alice</v>
          </cell>
        </row>
        <row r="60">
          <cell r="C60">
            <v>45549</v>
          </cell>
          <cell r="D60" t="str">
            <v>Eva</v>
          </cell>
        </row>
        <row r="61">
          <cell r="C61">
            <v>45707</v>
          </cell>
          <cell r="D61" t="str">
            <v>Bob</v>
          </cell>
        </row>
        <row r="62">
          <cell r="C62">
            <v>45792</v>
          </cell>
          <cell r="D62" t="str">
            <v>Grace</v>
          </cell>
        </row>
        <row r="63">
          <cell r="C63">
            <v>45572</v>
          </cell>
          <cell r="D63" t="str">
            <v>Eva</v>
          </cell>
        </row>
        <row r="64">
          <cell r="C64">
            <v>45599</v>
          </cell>
          <cell r="D64" t="str">
            <v>Eva</v>
          </cell>
        </row>
        <row r="65">
          <cell r="C65">
            <v>45651</v>
          </cell>
          <cell r="D65" t="str">
            <v>Grace</v>
          </cell>
        </row>
        <row r="66">
          <cell r="C66">
            <v>45570</v>
          </cell>
          <cell r="D66" t="str">
            <v>David</v>
          </cell>
        </row>
        <row r="67">
          <cell r="C67">
            <v>45587</v>
          </cell>
          <cell r="D67" t="str">
            <v>Hannah</v>
          </cell>
        </row>
        <row r="68">
          <cell r="C68">
            <v>45501</v>
          </cell>
          <cell r="D68" t="str">
            <v>Charlie</v>
          </cell>
        </row>
        <row r="69">
          <cell r="C69">
            <v>45730</v>
          </cell>
          <cell r="D69" t="str">
            <v>Charlie</v>
          </cell>
        </row>
        <row r="70">
          <cell r="C70">
            <v>45754</v>
          </cell>
          <cell r="D70" t="str">
            <v>Charlie</v>
          </cell>
        </row>
        <row r="71">
          <cell r="C71">
            <v>45819</v>
          </cell>
          <cell r="D71" t="str">
            <v>Frank</v>
          </cell>
        </row>
        <row r="72">
          <cell r="C72">
            <v>45725</v>
          </cell>
          <cell r="D72" t="str">
            <v>Frank</v>
          </cell>
        </row>
        <row r="73">
          <cell r="C73">
            <v>45771</v>
          </cell>
          <cell r="D73" t="str">
            <v>Frank</v>
          </cell>
        </row>
        <row r="74">
          <cell r="C74">
            <v>45849</v>
          </cell>
          <cell r="D74" t="str">
            <v>Charlie</v>
          </cell>
        </row>
        <row r="75">
          <cell r="C75">
            <v>45821</v>
          </cell>
          <cell r="D75" t="str">
            <v>Charlie</v>
          </cell>
        </row>
        <row r="76">
          <cell r="C76">
            <v>45663</v>
          </cell>
          <cell r="D76" t="str">
            <v>Alice</v>
          </cell>
        </row>
        <row r="77">
          <cell r="C77">
            <v>45559</v>
          </cell>
          <cell r="D77" t="str">
            <v>David</v>
          </cell>
        </row>
        <row r="78">
          <cell r="C78">
            <v>45666</v>
          </cell>
          <cell r="D78" t="str">
            <v>Alice</v>
          </cell>
        </row>
        <row r="79">
          <cell r="C79">
            <v>45593</v>
          </cell>
          <cell r="D79" t="str">
            <v>Bob</v>
          </cell>
        </row>
        <row r="80">
          <cell r="C80">
            <v>45858</v>
          </cell>
          <cell r="D80" t="str">
            <v>Charlie</v>
          </cell>
        </row>
        <row r="81">
          <cell r="C81">
            <v>45713</v>
          </cell>
          <cell r="D81" t="str">
            <v>David</v>
          </cell>
        </row>
        <row r="82">
          <cell r="C82">
            <v>45541</v>
          </cell>
          <cell r="D82" t="str">
            <v>Charlie</v>
          </cell>
        </row>
        <row r="83">
          <cell r="C83">
            <v>45718</v>
          </cell>
          <cell r="D83" t="str">
            <v>Charlie</v>
          </cell>
        </row>
        <row r="84">
          <cell r="C84">
            <v>45846</v>
          </cell>
          <cell r="D84" t="str">
            <v>Frank</v>
          </cell>
        </row>
        <row r="85">
          <cell r="C85">
            <v>45637</v>
          </cell>
          <cell r="D85" t="str">
            <v>Eva</v>
          </cell>
        </row>
        <row r="86">
          <cell r="C86">
            <v>45521</v>
          </cell>
          <cell r="D86" t="str">
            <v>Hannah</v>
          </cell>
        </row>
        <row r="87">
          <cell r="C87">
            <v>45766</v>
          </cell>
          <cell r="D87" t="str">
            <v>Charlie</v>
          </cell>
        </row>
        <row r="88">
          <cell r="C88">
            <v>45539</v>
          </cell>
          <cell r="D88" t="str">
            <v>Bob</v>
          </cell>
        </row>
        <row r="89">
          <cell r="C89">
            <v>45787</v>
          </cell>
          <cell r="D89" t="str">
            <v>Bob</v>
          </cell>
        </row>
        <row r="90">
          <cell r="C90">
            <v>45726</v>
          </cell>
          <cell r="D90" t="str">
            <v>Grace</v>
          </cell>
        </row>
        <row r="91">
          <cell r="C91">
            <v>45816</v>
          </cell>
          <cell r="D91" t="str">
            <v>Hannah</v>
          </cell>
        </row>
        <row r="92">
          <cell r="C92">
            <v>45668</v>
          </cell>
          <cell r="D92" t="str">
            <v>Alice</v>
          </cell>
        </row>
        <row r="93">
          <cell r="C93">
            <v>45703</v>
          </cell>
          <cell r="D93" t="str">
            <v>Alice</v>
          </cell>
        </row>
        <row r="94">
          <cell r="C94">
            <v>45553</v>
          </cell>
          <cell r="D94" t="str">
            <v>Charlie</v>
          </cell>
        </row>
        <row r="95">
          <cell r="C95">
            <v>45705</v>
          </cell>
          <cell r="D95" t="str">
            <v>Alice</v>
          </cell>
        </row>
        <row r="96">
          <cell r="C96">
            <v>45641</v>
          </cell>
          <cell r="D96" t="str">
            <v>Eva</v>
          </cell>
        </row>
        <row r="97">
          <cell r="C97">
            <v>45730</v>
          </cell>
          <cell r="D97" t="str">
            <v>Alice</v>
          </cell>
        </row>
        <row r="98">
          <cell r="C98">
            <v>45689</v>
          </cell>
          <cell r="D98" t="str">
            <v>Frank</v>
          </cell>
        </row>
        <row r="99">
          <cell r="C99">
            <v>45645</v>
          </cell>
          <cell r="D99" t="str">
            <v>Eva</v>
          </cell>
        </row>
        <row r="100">
          <cell r="C100">
            <v>45563</v>
          </cell>
          <cell r="D100" t="str">
            <v>Charlie</v>
          </cell>
        </row>
        <row r="101">
          <cell r="C101">
            <v>45848</v>
          </cell>
          <cell r="D101" t="str">
            <v>Frank</v>
          </cell>
        </row>
        <row r="102">
          <cell r="C102">
            <v>45851</v>
          </cell>
          <cell r="D102" t="str">
            <v>Charlie</v>
          </cell>
        </row>
        <row r="103">
          <cell r="C103">
            <v>45838</v>
          </cell>
          <cell r="D103" t="str">
            <v>Frank</v>
          </cell>
        </row>
        <row r="104">
          <cell r="C104">
            <v>45759</v>
          </cell>
          <cell r="D104" t="str">
            <v>Bob</v>
          </cell>
        </row>
        <row r="105">
          <cell r="C105">
            <v>45801</v>
          </cell>
          <cell r="D105" t="str">
            <v>Charlie</v>
          </cell>
        </row>
        <row r="106">
          <cell r="C106">
            <v>45782</v>
          </cell>
          <cell r="D106" t="str">
            <v>Frank</v>
          </cell>
        </row>
        <row r="107">
          <cell r="C107">
            <v>45582</v>
          </cell>
          <cell r="D107" t="str">
            <v>Hannah</v>
          </cell>
        </row>
        <row r="108">
          <cell r="C108">
            <v>45797</v>
          </cell>
          <cell r="D108" t="str">
            <v>Bob</v>
          </cell>
        </row>
        <row r="109">
          <cell r="C109">
            <v>45712</v>
          </cell>
          <cell r="D109" t="str">
            <v>Frank</v>
          </cell>
        </row>
        <row r="110">
          <cell r="C110">
            <v>45602</v>
          </cell>
          <cell r="D110" t="str">
            <v>Grace</v>
          </cell>
        </row>
        <row r="111">
          <cell r="C111">
            <v>45531</v>
          </cell>
          <cell r="D111" t="str">
            <v>Grace</v>
          </cell>
        </row>
        <row r="112">
          <cell r="C112">
            <v>45784</v>
          </cell>
          <cell r="D112" t="str">
            <v>Bob</v>
          </cell>
        </row>
        <row r="113">
          <cell r="C113">
            <v>45508</v>
          </cell>
          <cell r="D113" t="str">
            <v>Charlie</v>
          </cell>
        </row>
        <row r="114">
          <cell r="C114">
            <v>45647</v>
          </cell>
          <cell r="D114" t="str">
            <v>Eva</v>
          </cell>
        </row>
        <row r="115">
          <cell r="C115">
            <v>45654</v>
          </cell>
          <cell r="D115" t="str">
            <v>Eva</v>
          </cell>
        </row>
        <row r="116">
          <cell r="C116">
            <v>45848</v>
          </cell>
          <cell r="D116" t="str">
            <v>Grace</v>
          </cell>
        </row>
        <row r="117">
          <cell r="C117">
            <v>45576</v>
          </cell>
          <cell r="D117" t="str">
            <v>Charlie</v>
          </cell>
        </row>
        <row r="118">
          <cell r="C118">
            <v>45505</v>
          </cell>
          <cell r="D118" t="str">
            <v>Grace</v>
          </cell>
        </row>
        <row r="119">
          <cell r="C119">
            <v>45664</v>
          </cell>
          <cell r="D119" t="str">
            <v>Eva</v>
          </cell>
        </row>
        <row r="120">
          <cell r="C120">
            <v>45682</v>
          </cell>
          <cell r="D120" t="str">
            <v>Eva</v>
          </cell>
        </row>
        <row r="121">
          <cell r="C121">
            <v>45628</v>
          </cell>
          <cell r="D121" t="str">
            <v>Charlie</v>
          </cell>
        </row>
        <row r="122">
          <cell r="C122">
            <v>45726</v>
          </cell>
          <cell r="D122" t="str">
            <v>Bob</v>
          </cell>
        </row>
        <row r="123">
          <cell r="C123">
            <v>45688</v>
          </cell>
          <cell r="D123" t="str">
            <v>David</v>
          </cell>
        </row>
        <row r="124">
          <cell r="C124">
            <v>45698</v>
          </cell>
          <cell r="D124" t="str">
            <v>Grace</v>
          </cell>
        </row>
        <row r="125">
          <cell r="C125">
            <v>45644</v>
          </cell>
          <cell r="D125" t="str">
            <v>Bob</v>
          </cell>
        </row>
        <row r="126">
          <cell r="C126">
            <v>45692</v>
          </cell>
          <cell r="D126" t="str">
            <v>Eva</v>
          </cell>
        </row>
        <row r="127">
          <cell r="C127">
            <v>45585</v>
          </cell>
          <cell r="D127" t="str">
            <v>David</v>
          </cell>
        </row>
        <row r="128">
          <cell r="C128">
            <v>45694</v>
          </cell>
          <cell r="D128" t="str">
            <v>Eva</v>
          </cell>
        </row>
        <row r="129">
          <cell r="C129">
            <v>45741</v>
          </cell>
          <cell r="D129" t="str">
            <v>Bob</v>
          </cell>
        </row>
        <row r="130">
          <cell r="C130">
            <v>45610</v>
          </cell>
          <cell r="D130" t="str">
            <v>David</v>
          </cell>
        </row>
        <row r="131">
          <cell r="C131">
            <v>45653</v>
          </cell>
          <cell r="D131" t="str">
            <v>Frank</v>
          </cell>
        </row>
        <row r="132">
          <cell r="C132">
            <v>45598</v>
          </cell>
          <cell r="D132" t="str">
            <v>Charlie</v>
          </cell>
        </row>
        <row r="133">
          <cell r="C133">
            <v>45749</v>
          </cell>
          <cell r="D133" t="str">
            <v>Bob</v>
          </cell>
        </row>
        <row r="134">
          <cell r="C134">
            <v>45721</v>
          </cell>
          <cell r="D134" t="str">
            <v>Grace</v>
          </cell>
        </row>
        <row r="135">
          <cell r="C135">
            <v>45734</v>
          </cell>
          <cell r="D135" t="str">
            <v>David</v>
          </cell>
        </row>
        <row r="136">
          <cell r="C136">
            <v>45621</v>
          </cell>
          <cell r="D136" t="str">
            <v>Hannah</v>
          </cell>
        </row>
        <row r="137">
          <cell r="C137">
            <v>45749</v>
          </cell>
          <cell r="D137" t="str">
            <v>Alice</v>
          </cell>
        </row>
        <row r="138">
          <cell r="C138">
            <v>45747</v>
          </cell>
          <cell r="D138" t="str">
            <v>Hannah</v>
          </cell>
        </row>
        <row r="139">
          <cell r="C139">
            <v>45719</v>
          </cell>
          <cell r="D139" t="str">
            <v>Eva</v>
          </cell>
        </row>
        <row r="140">
          <cell r="C140">
            <v>45841</v>
          </cell>
          <cell r="D140" t="str">
            <v>Frank</v>
          </cell>
        </row>
        <row r="141">
          <cell r="C141">
            <v>45746</v>
          </cell>
          <cell r="D141" t="str">
            <v>Bob</v>
          </cell>
        </row>
        <row r="142">
          <cell r="C142">
            <v>45724</v>
          </cell>
          <cell r="D142" t="str">
            <v>David</v>
          </cell>
        </row>
        <row r="143">
          <cell r="C143">
            <v>45634</v>
          </cell>
          <cell r="D143" t="str">
            <v>Frank</v>
          </cell>
        </row>
        <row r="144">
          <cell r="C144">
            <v>45594</v>
          </cell>
          <cell r="D144" t="str">
            <v>Charlie</v>
          </cell>
        </row>
        <row r="145">
          <cell r="C145">
            <v>45538</v>
          </cell>
          <cell r="D145" t="str">
            <v>David</v>
          </cell>
        </row>
        <row r="146">
          <cell r="C146">
            <v>45731</v>
          </cell>
          <cell r="D146" t="str">
            <v>Eva</v>
          </cell>
        </row>
        <row r="147">
          <cell r="C147">
            <v>45832</v>
          </cell>
          <cell r="D147" t="str">
            <v>Frank</v>
          </cell>
        </row>
        <row r="148">
          <cell r="C148">
            <v>45574</v>
          </cell>
          <cell r="D148" t="str">
            <v>Charlie</v>
          </cell>
        </row>
        <row r="149">
          <cell r="C149">
            <v>45544</v>
          </cell>
          <cell r="D149" t="str">
            <v>David</v>
          </cell>
        </row>
        <row r="150">
          <cell r="C150">
            <v>45755</v>
          </cell>
          <cell r="D150" t="str">
            <v>Alice</v>
          </cell>
        </row>
        <row r="151">
          <cell r="C151">
            <v>45798</v>
          </cell>
          <cell r="D151" t="str">
            <v>David</v>
          </cell>
        </row>
        <row r="152">
          <cell r="C152">
            <v>45768</v>
          </cell>
          <cell r="D152" t="str">
            <v>Charlie</v>
          </cell>
        </row>
        <row r="153">
          <cell r="C153">
            <v>45552</v>
          </cell>
          <cell r="D153" t="str">
            <v>Hannah</v>
          </cell>
        </row>
        <row r="154">
          <cell r="C154">
            <v>45523</v>
          </cell>
          <cell r="D154" t="str">
            <v>Hannah</v>
          </cell>
        </row>
        <row r="155">
          <cell r="C155">
            <v>45740</v>
          </cell>
          <cell r="D155" t="str">
            <v>Eva</v>
          </cell>
        </row>
        <row r="156">
          <cell r="C156">
            <v>45832</v>
          </cell>
          <cell r="D156" t="str">
            <v>David</v>
          </cell>
        </row>
        <row r="157">
          <cell r="C157">
            <v>45547</v>
          </cell>
          <cell r="D157" t="str">
            <v>Grace</v>
          </cell>
        </row>
        <row r="158">
          <cell r="C158">
            <v>45761</v>
          </cell>
          <cell r="D158" t="str">
            <v>Grace</v>
          </cell>
        </row>
        <row r="159">
          <cell r="C159">
            <v>45814</v>
          </cell>
          <cell r="D159" t="str">
            <v>Grace</v>
          </cell>
        </row>
        <row r="160">
          <cell r="C160">
            <v>45752</v>
          </cell>
          <cell r="D160" t="str">
            <v>Frank</v>
          </cell>
        </row>
        <row r="161">
          <cell r="C161">
            <v>45759</v>
          </cell>
          <cell r="D161" t="str">
            <v>Alice</v>
          </cell>
        </row>
        <row r="162">
          <cell r="C162">
            <v>45773</v>
          </cell>
          <cell r="D162" t="str">
            <v>Alice</v>
          </cell>
        </row>
        <row r="163">
          <cell r="C163">
            <v>45794</v>
          </cell>
          <cell r="D163" t="str">
            <v>Frank</v>
          </cell>
        </row>
        <row r="164">
          <cell r="C164">
            <v>45584</v>
          </cell>
          <cell r="D164" t="str">
            <v>Charlie</v>
          </cell>
        </row>
        <row r="165">
          <cell r="C165">
            <v>45803</v>
          </cell>
          <cell r="D165" t="str">
            <v>Charlie</v>
          </cell>
        </row>
        <row r="166">
          <cell r="C166">
            <v>45804</v>
          </cell>
          <cell r="D166" t="str">
            <v>Alice</v>
          </cell>
        </row>
        <row r="167">
          <cell r="C167">
            <v>45665</v>
          </cell>
          <cell r="D167" t="str">
            <v>Hannah</v>
          </cell>
        </row>
        <row r="168">
          <cell r="C168">
            <v>45830</v>
          </cell>
          <cell r="D168" t="str">
            <v>Alice</v>
          </cell>
        </row>
        <row r="169">
          <cell r="C169">
            <v>45863</v>
          </cell>
          <cell r="D169" t="str">
            <v>Grace</v>
          </cell>
        </row>
        <row r="170">
          <cell r="C170">
            <v>45824</v>
          </cell>
          <cell r="D170" t="str">
            <v>Hannah</v>
          </cell>
        </row>
        <row r="171">
          <cell r="C171">
            <v>45749</v>
          </cell>
          <cell r="D171" t="str">
            <v>Eva</v>
          </cell>
        </row>
        <row r="172">
          <cell r="C172">
            <v>45574</v>
          </cell>
          <cell r="D172" t="str">
            <v>Frank</v>
          </cell>
        </row>
        <row r="173">
          <cell r="C173">
            <v>45811</v>
          </cell>
          <cell r="D173" t="str">
            <v>Frank</v>
          </cell>
        </row>
        <row r="174">
          <cell r="C174">
            <v>45837</v>
          </cell>
          <cell r="D174" t="str">
            <v>Frank</v>
          </cell>
        </row>
        <row r="175">
          <cell r="C175">
            <v>45596</v>
          </cell>
          <cell r="D175" t="str">
            <v>Hannah</v>
          </cell>
        </row>
        <row r="176">
          <cell r="C176">
            <v>45842</v>
          </cell>
          <cell r="D176" t="str">
            <v>Frank</v>
          </cell>
        </row>
        <row r="177">
          <cell r="C177">
            <v>45797</v>
          </cell>
          <cell r="D177" t="str">
            <v>David</v>
          </cell>
        </row>
        <row r="178">
          <cell r="C178">
            <v>45749</v>
          </cell>
          <cell r="D178" t="str">
            <v>Charlie</v>
          </cell>
        </row>
        <row r="179">
          <cell r="C179">
            <v>45597</v>
          </cell>
          <cell r="D179" t="str">
            <v>Bob</v>
          </cell>
        </row>
        <row r="180">
          <cell r="C180">
            <v>45768</v>
          </cell>
          <cell r="D180" t="str">
            <v>Grace</v>
          </cell>
        </row>
        <row r="181">
          <cell r="C181">
            <v>45823</v>
          </cell>
          <cell r="D181" t="str">
            <v>Grace</v>
          </cell>
        </row>
        <row r="182">
          <cell r="C182">
            <v>45861</v>
          </cell>
          <cell r="D182" t="str">
            <v>Charlie</v>
          </cell>
        </row>
        <row r="183">
          <cell r="C183">
            <v>45654</v>
          </cell>
          <cell r="D183" t="str">
            <v>Grace</v>
          </cell>
        </row>
        <row r="184">
          <cell r="C184">
            <v>45750</v>
          </cell>
          <cell r="D184" t="str">
            <v>Eva</v>
          </cell>
        </row>
        <row r="185">
          <cell r="C185">
            <v>45639</v>
          </cell>
          <cell r="D185" t="str">
            <v>David</v>
          </cell>
        </row>
        <row r="186">
          <cell r="C186">
            <v>45582</v>
          </cell>
          <cell r="D186" t="str">
            <v>David</v>
          </cell>
        </row>
        <row r="187">
          <cell r="C187">
            <v>45845</v>
          </cell>
          <cell r="D187" t="str">
            <v>Alice</v>
          </cell>
        </row>
        <row r="188">
          <cell r="C188">
            <v>45716</v>
          </cell>
          <cell r="D188" t="str">
            <v>Charlie</v>
          </cell>
        </row>
        <row r="189">
          <cell r="C189">
            <v>45616</v>
          </cell>
          <cell r="D189" t="str">
            <v>Bob</v>
          </cell>
        </row>
        <row r="190">
          <cell r="C190">
            <v>45701</v>
          </cell>
          <cell r="D190" t="str">
            <v>Charlie</v>
          </cell>
        </row>
        <row r="191">
          <cell r="C191">
            <v>45630</v>
          </cell>
          <cell r="D191" t="str">
            <v>David</v>
          </cell>
        </row>
        <row r="192">
          <cell r="C192">
            <v>45509</v>
          </cell>
          <cell r="D192" t="str">
            <v>Grace</v>
          </cell>
        </row>
        <row r="193">
          <cell r="C193">
            <v>45638</v>
          </cell>
          <cell r="D193" t="str">
            <v>Grace</v>
          </cell>
        </row>
        <row r="194">
          <cell r="C194">
            <v>45620</v>
          </cell>
          <cell r="D194" t="str">
            <v>Bob</v>
          </cell>
        </row>
        <row r="195">
          <cell r="C195">
            <v>45797</v>
          </cell>
          <cell r="D195" t="str">
            <v>Frank</v>
          </cell>
        </row>
        <row r="196">
          <cell r="C196">
            <v>45715</v>
          </cell>
          <cell r="D196" t="str">
            <v>Frank</v>
          </cell>
        </row>
        <row r="197">
          <cell r="C197">
            <v>45608</v>
          </cell>
          <cell r="D197" t="str">
            <v>Hannah</v>
          </cell>
        </row>
        <row r="198">
          <cell r="C198">
            <v>45602</v>
          </cell>
          <cell r="D198" t="str">
            <v>Frank</v>
          </cell>
        </row>
        <row r="199">
          <cell r="C199">
            <v>45576</v>
          </cell>
          <cell r="D199" t="str">
            <v>Charlie</v>
          </cell>
        </row>
        <row r="200">
          <cell r="C200">
            <v>45810</v>
          </cell>
          <cell r="D200" t="str">
            <v>Eva</v>
          </cell>
        </row>
        <row r="201">
          <cell r="C201">
            <v>45859</v>
          </cell>
          <cell r="D201" t="str">
            <v>Eva</v>
          </cell>
        </row>
        <row r="202">
          <cell r="C202">
            <v>45743</v>
          </cell>
          <cell r="D202" t="str">
            <v>Hannah</v>
          </cell>
        </row>
        <row r="203">
          <cell r="C203">
            <v>45854</v>
          </cell>
          <cell r="D203" t="str">
            <v>David</v>
          </cell>
        </row>
        <row r="204">
          <cell r="C204">
            <v>45831</v>
          </cell>
          <cell r="D204" t="str">
            <v>Frank</v>
          </cell>
        </row>
        <row r="205">
          <cell r="C205">
            <v>45789</v>
          </cell>
          <cell r="D205" t="str">
            <v>Frank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f &amp; Ifs Notes"/>
      <sheetName val="Text Functions"/>
      <sheetName val="Sheet3"/>
      <sheetName val="Sheet2"/>
      <sheetName val="Text Notes"/>
      <sheetName val="Count WorkSheet"/>
      <sheetName val="Logical Functions"/>
      <sheetName val="Data types"/>
      <sheetName val="Shorcuts"/>
      <sheetName val="Flash Fill"/>
      <sheetName val="Sheet1"/>
      <sheetName val="Sheet6"/>
      <sheetName val="Flash Series"/>
      <sheetName val="Copy and Paste"/>
      <sheetName val="Condition Formatting"/>
      <sheetName val="Sorting and Filterting"/>
      <sheetName val="Name RAnge"/>
      <sheetName val="Freezing Techniques"/>
      <sheetName val="SUmi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H14" t="str">
            <v>Department</v>
          </cell>
        </row>
        <row r="15">
          <cell r="H15" t="str">
            <v>HR</v>
          </cell>
        </row>
        <row r="16">
          <cell r="H16" t="str">
            <v>Sales</v>
          </cell>
        </row>
        <row r="17">
          <cell r="H17" t="str">
            <v>IT</v>
          </cell>
        </row>
        <row r="19">
          <cell r="H19" t="str">
            <v>Sales</v>
          </cell>
        </row>
        <row r="20">
          <cell r="H20" t="str">
            <v>HR</v>
          </cell>
        </row>
        <row r="22">
          <cell r="H22" t="str">
            <v>IT</v>
          </cell>
        </row>
        <row r="24">
          <cell r="H24" t="str">
            <v>Sales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49FC-7A09-450C-9831-5CE53A6FF72D}">
  <dimension ref="B2:C24"/>
  <sheetViews>
    <sheetView workbookViewId="0">
      <selection activeCell="B22" sqref="B22:B24"/>
    </sheetView>
  </sheetViews>
  <sheetFormatPr defaultRowHeight="14.4" x14ac:dyDescent="0.3"/>
  <cols>
    <col min="2" max="2" width="29.6640625" bestFit="1" customWidth="1"/>
    <col min="3" max="3" width="42.21875" customWidth="1"/>
  </cols>
  <sheetData>
    <row r="2" spans="2:3" x14ac:dyDescent="0.3">
      <c r="C2" t="s">
        <v>164</v>
      </c>
    </row>
    <row r="3" spans="2:3" x14ac:dyDescent="0.3">
      <c r="C3" t="s">
        <v>165</v>
      </c>
    </row>
    <row r="4" spans="2:3" x14ac:dyDescent="0.3">
      <c r="B4" s="35" t="s">
        <v>166</v>
      </c>
      <c r="C4" s="33" t="s">
        <v>167</v>
      </c>
    </row>
    <row r="5" spans="2:3" x14ac:dyDescent="0.3">
      <c r="B5" s="35"/>
      <c r="C5" s="34" t="s">
        <v>168</v>
      </c>
    </row>
    <row r="6" spans="2:3" x14ac:dyDescent="0.3">
      <c r="B6" s="35"/>
      <c r="C6" s="34" t="s">
        <v>169</v>
      </c>
    </row>
    <row r="8" spans="2:3" x14ac:dyDescent="0.3">
      <c r="B8" s="35" t="s">
        <v>124</v>
      </c>
      <c r="C8" s="11" t="s">
        <v>170</v>
      </c>
    </row>
    <row r="9" spans="2:3" x14ac:dyDescent="0.3">
      <c r="B9" s="35"/>
      <c r="C9" s="11" t="s">
        <v>171</v>
      </c>
    </row>
    <row r="10" spans="2:3" x14ac:dyDescent="0.3">
      <c r="B10" s="35"/>
      <c r="C10" s="11" t="s">
        <v>172</v>
      </c>
    </row>
    <row r="12" spans="2:3" x14ac:dyDescent="0.3">
      <c r="B12" s="36" t="s">
        <v>125</v>
      </c>
      <c r="C12" s="11" t="s">
        <v>173</v>
      </c>
    </row>
    <row r="13" spans="2:3" x14ac:dyDescent="0.3">
      <c r="B13" s="36"/>
      <c r="C13" s="11" t="s">
        <v>174</v>
      </c>
    </row>
    <row r="14" spans="2:3" x14ac:dyDescent="0.3">
      <c r="B14" s="36"/>
      <c r="C14" s="11" t="s">
        <v>175</v>
      </c>
    </row>
    <row r="17" spans="2:3" x14ac:dyDescent="0.3">
      <c r="B17" s="37" t="s">
        <v>126</v>
      </c>
      <c r="C17" s="11" t="s">
        <v>176</v>
      </c>
    </row>
    <row r="18" spans="2:3" x14ac:dyDescent="0.3">
      <c r="B18" s="38"/>
      <c r="C18" s="11" t="s">
        <v>177</v>
      </c>
    </row>
    <row r="19" spans="2:3" x14ac:dyDescent="0.3">
      <c r="B19" s="39"/>
      <c r="C19" s="34" t="s">
        <v>178</v>
      </c>
    </row>
    <row r="22" spans="2:3" x14ac:dyDescent="0.3">
      <c r="B22" s="40" t="s">
        <v>179</v>
      </c>
      <c r="C22" s="11" t="s">
        <v>180</v>
      </c>
    </row>
    <row r="23" spans="2:3" x14ac:dyDescent="0.3">
      <c r="B23" s="40"/>
      <c r="C23" s="11" t="s">
        <v>181</v>
      </c>
    </row>
    <row r="24" spans="2:3" x14ac:dyDescent="0.3">
      <c r="B24" s="40"/>
      <c r="C24" s="11" t="s">
        <v>182</v>
      </c>
    </row>
  </sheetData>
  <mergeCells count="5">
    <mergeCell ref="B4:B6"/>
    <mergeCell ref="B8:B10"/>
    <mergeCell ref="B12:B14"/>
    <mergeCell ref="B17:B19"/>
    <mergeCell ref="B22:B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E41B-076D-44DB-8AAA-389232165FC3}">
  <dimension ref="A3:T18"/>
  <sheetViews>
    <sheetView tabSelected="1" topLeftCell="I1" workbookViewId="0">
      <selection activeCell="T4" sqref="T4"/>
    </sheetView>
  </sheetViews>
  <sheetFormatPr defaultRowHeight="14.4" x14ac:dyDescent="0.3"/>
  <cols>
    <col min="1" max="6" width="11.6640625" customWidth="1"/>
    <col min="7" max="7" width="12.44140625" bestFit="1" customWidth="1"/>
    <col min="8" max="8" width="16.21875" bestFit="1" customWidth="1"/>
    <col min="9" max="10" width="11.6640625" customWidth="1"/>
    <col min="11" max="11" width="16.6640625" customWidth="1"/>
    <col min="12" max="12" width="17.5546875" customWidth="1"/>
    <col min="13" max="13" width="20.21875" bestFit="1" customWidth="1"/>
    <col min="14" max="14" width="24.6640625" bestFit="1" customWidth="1"/>
    <col min="15" max="15" width="11.21875" bestFit="1" customWidth="1"/>
    <col min="16" max="16" width="21.21875" bestFit="1" customWidth="1"/>
    <col min="17" max="17" width="16.5546875" bestFit="1" customWidth="1"/>
    <col min="18" max="18" width="16.21875" bestFit="1" customWidth="1"/>
    <col min="19" max="19" width="22" customWidth="1"/>
  </cols>
  <sheetData>
    <row r="3" spans="1:20" x14ac:dyDescent="0.3">
      <c r="A3" s="15" t="s">
        <v>110</v>
      </c>
      <c r="B3" s="15" t="s">
        <v>86</v>
      </c>
      <c r="C3" s="15" t="s">
        <v>111</v>
      </c>
      <c r="D3" s="15" t="s">
        <v>112</v>
      </c>
      <c r="E3" s="15" t="s">
        <v>113</v>
      </c>
      <c r="F3" s="15" t="s">
        <v>114</v>
      </c>
      <c r="G3" s="15" t="s">
        <v>115</v>
      </c>
      <c r="H3" s="15" t="s">
        <v>116</v>
      </c>
      <c r="I3" s="15" t="s">
        <v>117</v>
      </c>
      <c r="J3" s="15" t="s">
        <v>118</v>
      </c>
      <c r="K3" s="15" t="s">
        <v>119</v>
      </c>
      <c r="L3" s="15" t="s">
        <v>120</v>
      </c>
      <c r="M3" s="30" t="s">
        <v>121</v>
      </c>
      <c r="N3" s="30" t="s">
        <v>122</v>
      </c>
      <c r="O3" s="30" t="s">
        <v>123</v>
      </c>
      <c r="P3" s="30" t="s">
        <v>124</v>
      </c>
      <c r="Q3" s="30" t="s">
        <v>125</v>
      </c>
      <c r="R3" s="30" t="s">
        <v>126</v>
      </c>
      <c r="S3" s="30" t="s">
        <v>184</v>
      </c>
      <c r="T3" s="31" t="s">
        <v>73</v>
      </c>
    </row>
    <row r="4" spans="1:20" ht="11.4" customHeight="1" x14ac:dyDescent="0.3">
      <c r="A4" s="11" t="s">
        <v>127</v>
      </c>
      <c r="B4" s="11" t="s">
        <v>128</v>
      </c>
      <c r="C4" s="11" t="s">
        <v>129</v>
      </c>
      <c r="D4" s="11" t="s">
        <v>130</v>
      </c>
      <c r="E4" s="11">
        <v>120000</v>
      </c>
      <c r="F4" s="11">
        <v>100000</v>
      </c>
      <c r="G4" s="32">
        <v>0.95</v>
      </c>
      <c r="H4" s="11">
        <v>3</v>
      </c>
      <c r="I4" s="11">
        <v>4.5</v>
      </c>
      <c r="J4" s="11">
        <v>2</v>
      </c>
      <c r="K4" s="11">
        <v>120</v>
      </c>
      <c r="L4" s="11">
        <v>4.5999999999999996</v>
      </c>
      <c r="M4" s="11" t="str">
        <f>IF(E4&gt;=F4,"Achieved","Not Achieved")</f>
        <v>Achieved</v>
      </c>
      <c r="N4" s="11" t="str">
        <f>IF(G4&lt;=85%,"Not Achieved","Achieved")</f>
        <v>Achieved</v>
      </c>
      <c r="O4" s="11" t="str" cm="1">
        <f t="array" ref="O4">_xlfn.IFS(E3&gt;=120000,"High",E3&gt;=80000,"Medium",E3&lt;=80000,"Low")</f>
        <v>High</v>
      </c>
      <c r="P4" s="11" t="str">
        <f>IF(AND(E4&gt;=F4,G4&gt;=90%,J4&lt;=3),"Yes","No")</f>
        <v>Yes</v>
      </c>
      <c r="Q4" s="11" t="str">
        <f>IF(AND(I4&gt;=4.5,L4&gt;=4.5,K4&gt;=120),"Good","Bad")</f>
        <v>Good</v>
      </c>
      <c r="R4" s="11" t="str">
        <f>IF(AND(G4&lt;80%,I4&lt;3,E4&lt;60000),"Yes","No")</f>
        <v>No</v>
      </c>
      <c r="S4" s="11" t="str" cm="1">
        <f t="array" ref="S4">_xlfn.IFS(I4&gt;=4.5,"Excellent",I4&gt;=4,"Good",I4,"Average")</f>
        <v>Excellent</v>
      </c>
      <c r="T4" s="11" t="str" cm="1">
        <f t="array" ref="T4">_xlfn.SWITCH(S4,"Excellent","25%hike","Good","15%hike","Average","10%hike")</f>
        <v>25%hike</v>
      </c>
    </row>
    <row r="5" spans="1:20" x14ac:dyDescent="0.3">
      <c r="A5" s="11" t="s">
        <v>131</v>
      </c>
      <c r="B5" s="11" t="s">
        <v>132</v>
      </c>
      <c r="C5" s="11" t="s">
        <v>133</v>
      </c>
      <c r="D5" s="11" t="s">
        <v>134</v>
      </c>
      <c r="E5" s="11">
        <v>80000</v>
      </c>
      <c r="F5" s="11">
        <v>90000</v>
      </c>
      <c r="G5" s="32">
        <v>0.85</v>
      </c>
      <c r="H5" s="11">
        <v>2</v>
      </c>
      <c r="I5" s="11">
        <v>3.8</v>
      </c>
      <c r="J5" s="11">
        <v>5</v>
      </c>
      <c r="K5" s="11">
        <v>95</v>
      </c>
      <c r="L5" s="11">
        <v>3.9</v>
      </c>
      <c r="M5" s="11" t="str">
        <f t="shared" ref="M5:M18" si="0">IF(E5&gt;=F5,"Achieved","Not Achieved")</f>
        <v>Not Achieved</v>
      </c>
      <c r="N5" s="11" t="str">
        <f t="shared" ref="N5:N17" si="1">IF(G5&lt;=85%,"Not Achieved","Achieved")</f>
        <v>Not Achieved</v>
      </c>
      <c r="O5" s="11" t="str" cm="1">
        <f t="array" ref="O5">_xlfn.IFS(E4&gt;=120000,"High",E4&gt;=80000,"Medium",E4&lt;=80000,"Low")</f>
        <v>High</v>
      </c>
      <c r="P5" s="11" t="str">
        <f t="shared" ref="P5:P18" si="2">IF(AND(E5&gt;=F5,G5&gt;=90%,J5&lt;=3),"Yes","No")</f>
        <v>No</v>
      </c>
      <c r="Q5" s="11" t="str">
        <f t="shared" ref="Q5:Q18" si="3">IF(AND(I5&gt;=4.5,L5&gt;=4.5,K5&gt;=120),"Good","Bad")</f>
        <v>Bad</v>
      </c>
      <c r="R5" s="11" t="str">
        <f t="shared" ref="R5:R18" si="4">IF(AND(G5&lt;80%,I5&lt;3,E5&lt;60000),"Yes","No")</f>
        <v>No</v>
      </c>
      <c r="S5" s="11" t="str" cm="1">
        <f t="array" ref="S5">_xlfn.IFS(I5&gt;=4.5,"Excellent",I5&gt;=4,"Good",I5,"Average")</f>
        <v>Average</v>
      </c>
      <c r="T5" s="11" t="str" cm="1">
        <f t="array" ref="T5">_xlfn.SWITCH(S5,"Excellent","25%hike","Good","15%hike","Average","10%hike")</f>
        <v>10%hike</v>
      </c>
    </row>
    <row r="6" spans="1:20" x14ac:dyDescent="0.3">
      <c r="A6" s="11" t="s">
        <v>135</v>
      </c>
      <c r="B6" s="11" t="s">
        <v>136</v>
      </c>
      <c r="C6" s="11" t="s">
        <v>129</v>
      </c>
      <c r="D6" s="11" t="s">
        <v>130</v>
      </c>
      <c r="E6" s="11">
        <v>150000</v>
      </c>
      <c r="F6" s="11">
        <v>120000</v>
      </c>
      <c r="G6" s="32">
        <v>0.92</v>
      </c>
      <c r="H6" s="11">
        <v>5</v>
      </c>
      <c r="I6" s="11">
        <v>4.7</v>
      </c>
      <c r="J6" s="11">
        <v>1</v>
      </c>
      <c r="K6" s="11">
        <v>140</v>
      </c>
      <c r="L6" s="11">
        <v>4.8</v>
      </c>
      <c r="M6" s="11" t="str">
        <f t="shared" si="0"/>
        <v>Achieved</v>
      </c>
      <c r="N6" s="11" t="str">
        <f t="shared" si="1"/>
        <v>Achieved</v>
      </c>
      <c r="O6" s="11" t="str" cm="1">
        <f t="array" ref="O6">_xlfn.IFS(E5&gt;=120000,"High",E5&gt;=80000,"Medium",E5&lt;=80000,"Low")</f>
        <v>Medium</v>
      </c>
      <c r="P6" s="11" t="str">
        <f t="shared" si="2"/>
        <v>Yes</v>
      </c>
      <c r="Q6" s="11" t="str">
        <f t="shared" si="3"/>
        <v>Good</v>
      </c>
      <c r="R6" s="11" t="str">
        <f t="shared" si="4"/>
        <v>No</v>
      </c>
      <c r="S6" s="11" t="str" cm="1">
        <f t="array" ref="S6">_xlfn.IFS(I6&gt;=4.5,"Excellent",I6&gt;=4,"Good",I6,"Average")</f>
        <v>Excellent</v>
      </c>
      <c r="T6" s="11" t="str" cm="1">
        <f t="array" ref="T6">_xlfn.SWITCH(S6,"Excellent","25%hike","Good","15%hike","Average","10%hike")</f>
        <v>25%hike</v>
      </c>
    </row>
    <row r="7" spans="1:20" x14ac:dyDescent="0.3">
      <c r="A7" s="11" t="s">
        <v>137</v>
      </c>
      <c r="B7" s="11" t="s">
        <v>138</v>
      </c>
      <c r="C7" s="11" t="s">
        <v>139</v>
      </c>
      <c r="D7" s="11" t="s">
        <v>140</v>
      </c>
      <c r="E7" s="11">
        <v>70000</v>
      </c>
      <c r="F7" s="11">
        <v>80000</v>
      </c>
      <c r="G7" s="32">
        <v>0.88</v>
      </c>
      <c r="H7" s="11">
        <v>1</v>
      </c>
      <c r="I7" s="11">
        <v>3.5</v>
      </c>
      <c r="J7" s="11">
        <v>4</v>
      </c>
      <c r="K7" s="11">
        <v>80</v>
      </c>
      <c r="L7" s="11">
        <v>3.6</v>
      </c>
      <c r="M7" s="11" t="str">
        <f t="shared" si="0"/>
        <v>Not Achieved</v>
      </c>
      <c r="N7" s="11" t="str">
        <f t="shared" si="1"/>
        <v>Achieved</v>
      </c>
      <c r="O7" s="11" t="str" cm="1">
        <f t="array" ref="O7">_xlfn.IFS(E6&gt;=120000,"High",E6&gt;=80000,"Medium",E6&lt;=80000,"Low")</f>
        <v>High</v>
      </c>
      <c r="P7" s="11" t="str">
        <f t="shared" si="2"/>
        <v>No</v>
      </c>
      <c r="Q7" s="11" t="str">
        <f t="shared" si="3"/>
        <v>Bad</v>
      </c>
      <c r="R7" s="11" t="str">
        <f t="shared" si="4"/>
        <v>No</v>
      </c>
      <c r="S7" s="11" t="str" cm="1">
        <f t="array" ref="S7">_xlfn.IFS(I7&gt;=4.5,"Excellent",I7&gt;=4,"Good",I7,"Average")</f>
        <v>Average</v>
      </c>
      <c r="T7" s="11" t="str" cm="1">
        <f t="array" ref="T7">_xlfn.SWITCH(S7,"Excellent","25%hike","Good","15%hike","Average","10%hike")</f>
        <v>10%hike</v>
      </c>
    </row>
    <row r="8" spans="1:20" x14ac:dyDescent="0.3">
      <c r="A8" s="11" t="s">
        <v>141</v>
      </c>
      <c r="B8" s="11" t="s">
        <v>142</v>
      </c>
      <c r="C8" s="11" t="s">
        <v>143</v>
      </c>
      <c r="D8" s="11" t="s">
        <v>134</v>
      </c>
      <c r="E8" s="11">
        <v>95000</v>
      </c>
      <c r="F8" s="11">
        <v>95000</v>
      </c>
      <c r="G8" s="32">
        <v>0.9</v>
      </c>
      <c r="H8" s="11">
        <v>4</v>
      </c>
      <c r="I8" s="11">
        <v>4.2</v>
      </c>
      <c r="J8" s="11">
        <v>3</v>
      </c>
      <c r="K8" s="11">
        <v>110</v>
      </c>
      <c r="L8" s="11">
        <v>4.3</v>
      </c>
      <c r="M8" s="11" t="str">
        <f t="shared" si="0"/>
        <v>Achieved</v>
      </c>
      <c r="N8" s="11" t="str">
        <f t="shared" si="1"/>
        <v>Achieved</v>
      </c>
      <c r="O8" s="11" t="str" cm="1">
        <f t="array" ref="O8">_xlfn.IFS(E7&gt;=120000,"High",E7&gt;=80000,"Medium",E7&lt;=80000,"Low")</f>
        <v>Low</v>
      </c>
      <c r="P8" s="11" t="str">
        <f t="shared" si="2"/>
        <v>Yes</v>
      </c>
      <c r="Q8" s="11" t="str">
        <f t="shared" si="3"/>
        <v>Bad</v>
      </c>
      <c r="R8" s="11" t="str">
        <f t="shared" si="4"/>
        <v>No</v>
      </c>
      <c r="S8" s="11" t="str" cm="1">
        <f t="array" ref="S8">_xlfn.IFS(I8&gt;=4.5,"Excellent",I8&gt;=4,"Good",I8,"Average")</f>
        <v>Good</v>
      </c>
      <c r="T8" s="11" t="str" cm="1">
        <f t="array" ref="T8">_xlfn.SWITCH(S8,"Excellent","25%hike","Good","15%hike","Average","10%hike")</f>
        <v>15%hike</v>
      </c>
    </row>
    <row r="9" spans="1:20" x14ac:dyDescent="0.3">
      <c r="A9" s="11" t="s">
        <v>144</v>
      </c>
      <c r="B9" s="11" t="s">
        <v>145</v>
      </c>
      <c r="C9" s="11" t="s">
        <v>129</v>
      </c>
      <c r="D9" s="11" t="s">
        <v>130</v>
      </c>
      <c r="E9" s="11">
        <v>60000</v>
      </c>
      <c r="F9" s="11">
        <v>85000</v>
      </c>
      <c r="G9" s="32">
        <v>0.75</v>
      </c>
      <c r="H9" s="11">
        <v>2</v>
      </c>
      <c r="I9" s="11">
        <v>3.2</v>
      </c>
      <c r="J9" s="11">
        <v>6</v>
      </c>
      <c r="K9" s="11">
        <v>70</v>
      </c>
      <c r="L9" s="11">
        <v>3.4</v>
      </c>
      <c r="M9" s="11" t="str">
        <f t="shared" si="0"/>
        <v>Not Achieved</v>
      </c>
      <c r="N9" s="11" t="str">
        <f t="shared" si="1"/>
        <v>Not Achieved</v>
      </c>
      <c r="O9" s="11" t="str" cm="1">
        <f t="array" ref="O9">_xlfn.IFS(E8&gt;=120000,"High",E8&gt;=80000,"Medium",E8&lt;=80000,"Low")</f>
        <v>Medium</v>
      </c>
      <c r="P9" s="11" t="str">
        <f t="shared" si="2"/>
        <v>No</v>
      </c>
      <c r="Q9" s="11" t="str">
        <f t="shared" si="3"/>
        <v>Bad</v>
      </c>
      <c r="R9" s="11" t="str">
        <f t="shared" si="4"/>
        <v>No</v>
      </c>
      <c r="S9" s="11" t="str" cm="1">
        <f t="array" ref="S9">_xlfn.IFS(I9&gt;=4.5,"Excellent",I9&gt;=4,"Good",I9,"Average")</f>
        <v>Average</v>
      </c>
      <c r="T9" s="11" t="str" cm="1">
        <f t="array" ref="T9">_xlfn.SWITCH(S9,"Excellent","25%hike","Good","15%hike","Average","10%hike")</f>
        <v>10%hike</v>
      </c>
    </row>
    <row r="10" spans="1:20" x14ac:dyDescent="0.3">
      <c r="A10" s="11" t="s">
        <v>146</v>
      </c>
      <c r="B10" s="11" t="s">
        <v>147</v>
      </c>
      <c r="C10" s="11" t="s">
        <v>133</v>
      </c>
      <c r="D10" s="11" t="s">
        <v>134</v>
      </c>
      <c r="E10" s="11">
        <v>110000</v>
      </c>
      <c r="F10" s="11">
        <v>100000</v>
      </c>
      <c r="G10" s="32">
        <v>0.97</v>
      </c>
      <c r="H10" s="11">
        <v>6</v>
      </c>
      <c r="I10" s="11">
        <v>4.8</v>
      </c>
      <c r="J10" s="11">
        <v>1</v>
      </c>
      <c r="K10" s="11">
        <v>150</v>
      </c>
      <c r="L10" s="11">
        <v>4.9000000000000004</v>
      </c>
      <c r="M10" s="11" t="str">
        <f t="shared" si="0"/>
        <v>Achieved</v>
      </c>
      <c r="N10" s="11" t="str">
        <f t="shared" si="1"/>
        <v>Achieved</v>
      </c>
      <c r="O10" s="11" t="str" cm="1">
        <f t="array" ref="O10">_xlfn.IFS(E9&gt;=120000,"High",E9&gt;=80000,"Medium",E9&lt;=80000,"Low")</f>
        <v>Low</v>
      </c>
      <c r="P10" s="11" t="str">
        <f t="shared" si="2"/>
        <v>Yes</v>
      </c>
      <c r="Q10" s="11" t="str">
        <f t="shared" si="3"/>
        <v>Good</v>
      </c>
      <c r="R10" s="11" t="str">
        <f t="shared" si="4"/>
        <v>No</v>
      </c>
      <c r="S10" s="11" t="str" cm="1">
        <f t="array" ref="S10">_xlfn.IFS(I10&gt;=4.5,"Excellent",I10&gt;=4,"Good",I10,"Average")</f>
        <v>Excellent</v>
      </c>
      <c r="T10" s="11" t="str" cm="1">
        <f t="array" ref="T10">_xlfn.SWITCH(S10,"Excellent","25%hike","Good","15%hike","Average","10%hike")</f>
        <v>25%hike</v>
      </c>
    </row>
    <row r="11" spans="1:20" x14ac:dyDescent="0.3">
      <c r="A11" s="11" t="s">
        <v>148</v>
      </c>
      <c r="B11" s="11" t="s">
        <v>149</v>
      </c>
      <c r="C11" s="11" t="s">
        <v>139</v>
      </c>
      <c r="D11" s="11" t="s">
        <v>140</v>
      </c>
      <c r="E11" s="11">
        <v>50000</v>
      </c>
      <c r="F11" s="11">
        <v>70000</v>
      </c>
      <c r="G11" s="32">
        <v>0.8</v>
      </c>
      <c r="H11" s="11">
        <v>1</v>
      </c>
      <c r="I11" s="11">
        <v>3</v>
      </c>
      <c r="J11" s="11">
        <v>7</v>
      </c>
      <c r="K11" s="11">
        <v>65</v>
      </c>
      <c r="L11" s="11">
        <v>3.2</v>
      </c>
      <c r="M11" s="11" t="str">
        <f t="shared" si="0"/>
        <v>Not Achieved</v>
      </c>
      <c r="N11" s="11" t="str">
        <f t="shared" si="1"/>
        <v>Not Achieved</v>
      </c>
      <c r="O11" s="11" t="str" cm="1">
        <f t="array" ref="O11">_xlfn.IFS(E10&gt;=120000,"High",E10&gt;=80000,"Medium",E10&lt;=80000,"Low")</f>
        <v>Medium</v>
      </c>
      <c r="P11" s="11" t="str">
        <f t="shared" si="2"/>
        <v>No</v>
      </c>
      <c r="Q11" s="11" t="str">
        <f t="shared" si="3"/>
        <v>Bad</v>
      </c>
      <c r="R11" s="11" t="str">
        <f t="shared" si="4"/>
        <v>No</v>
      </c>
      <c r="S11" s="11" t="str" cm="1">
        <f t="array" ref="S11">_xlfn.IFS(I11&gt;=4.5,"Excellent",I11&gt;=4,"Good",I11,"Average")</f>
        <v>Average</v>
      </c>
      <c r="T11" s="11" t="str" cm="1">
        <f t="array" ref="T11">_xlfn.SWITCH(S11,"Excellent","25%hike","Good","15%hike","Average","10%hike")</f>
        <v>10%hike</v>
      </c>
    </row>
    <row r="12" spans="1:20" x14ac:dyDescent="0.3">
      <c r="A12" s="11" t="s">
        <v>150</v>
      </c>
      <c r="B12" s="11" t="s">
        <v>151</v>
      </c>
      <c r="C12" s="11" t="s">
        <v>143</v>
      </c>
      <c r="D12" s="11" t="s">
        <v>130</v>
      </c>
      <c r="E12" s="11">
        <v>130000</v>
      </c>
      <c r="F12" s="11">
        <v>120000</v>
      </c>
      <c r="G12" s="32">
        <v>0.93</v>
      </c>
      <c r="H12" s="11">
        <v>5</v>
      </c>
      <c r="I12" s="11">
        <v>4.5999999999999996</v>
      </c>
      <c r="J12" s="11">
        <v>2</v>
      </c>
      <c r="K12" s="11">
        <v>135</v>
      </c>
      <c r="L12" s="11">
        <v>4.7</v>
      </c>
      <c r="M12" s="11" t="str">
        <f t="shared" si="0"/>
        <v>Achieved</v>
      </c>
      <c r="N12" s="11" t="str">
        <f t="shared" si="1"/>
        <v>Achieved</v>
      </c>
      <c r="O12" s="11" t="str" cm="1">
        <f t="array" ref="O12">_xlfn.IFS(E11&gt;=120000,"High",E11&gt;=80000,"Medium",E11&lt;=80000,"Low")</f>
        <v>Low</v>
      </c>
      <c r="P12" s="11" t="str">
        <f t="shared" si="2"/>
        <v>Yes</v>
      </c>
      <c r="Q12" s="11" t="str">
        <f t="shared" si="3"/>
        <v>Good</v>
      </c>
      <c r="R12" s="11" t="str">
        <f t="shared" si="4"/>
        <v>No</v>
      </c>
      <c r="S12" s="11" t="str" cm="1">
        <f t="array" ref="S12">_xlfn.IFS(I12&gt;=4.5,"Excellent",I12&gt;=4,"Good",I12,"Average")</f>
        <v>Excellent</v>
      </c>
      <c r="T12" s="11" t="str" cm="1">
        <f t="array" ref="T12">_xlfn.SWITCH(S12,"Excellent","25%hike","Good","15%hike","Average","10%hike")</f>
        <v>25%hike</v>
      </c>
    </row>
    <row r="13" spans="1:20" x14ac:dyDescent="0.3">
      <c r="A13" s="11" t="s">
        <v>152</v>
      </c>
      <c r="B13" s="11" t="s">
        <v>153</v>
      </c>
      <c r="C13" s="11" t="s">
        <v>129</v>
      </c>
      <c r="D13" s="11" t="s">
        <v>140</v>
      </c>
      <c r="E13" s="11">
        <v>40000</v>
      </c>
      <c r="F13" s="11">
        <v>60000</v>
      </c>
      <c r="G13" s="32">
        <v>0.7</v>
      </c>
      <c r="H13" s="11">
        <v>1</v>
      </c>
      <c r="I13" s="11">
        <v>2.8</v>
      </c>
      <c r="J13" s="11">
        <v>8</v>
      </c>
      <c r="K13" s="11">
        <v>50</v>
      </c>
      <c r="L13" s="11">
        <v>2.9</v>
      </c>
      <c r="M13" s="11" t="str">
        <f t="shared" si="0"/>
        <v>Not Achieved</v>
      </c>
      <c r="N13" s="11" t="str">
        <f t="shared" si="1"/>
        <v>Not Achieved</v>
      </c>
      <c r="O13" s="11" t="str" cm="1">
        <f t="array" ref="O13">_xlfn.IFS(E12&gt;=120000,"High",E12&gt;=80000,"Medium",E12&lt;=80000,"Low")</f>
        <v>High</v>
      </c>
      <c r="P13" s="11" t="str">
        <f t="shared" si="2"/>
        <v>No</v>
      </c>
      <c r="Q13" s="11" t="str">
        <f t="shared" si="3"/>
        <v>Bad</v>
      </c>
      <c r="R13" s="11" t="str">
        <f t="shared" si="4"/>
        <v>Yes</v>
      </c>
      <c r="S13" s="11" t="str" cm="1">
        <f t="array" ref="S13">_xlfn.IFS(I13&gt;=4.5,"Excellent",I13&gt;=4,"Good",I13,"Average")</f>
        <v>Average</v>
      </c>
      <c r="T13" s="11" t="str" cm="1">
        <f t="array" ref="T13">_xlfn.SWITCH(S13,"Excellent","25%hike","Good","15%hike","Average","10%hike")</f>
        <v>10%hike</v>
      </c>
    </row>
    <row r="14" spans="1:20" x14ac:dyDescent="0.3">
      <c r="A14" s="11" t="s">
        <v>154</v>
      </c>
      <c r="B14" s="11" t="s">
        <v>155</v>
      </c>
      <c r="C14" s="11" t="s">
        <v>133</v>
      </c>
      <c r="D14" s="11" t="s">
        <v>130</v>
      </c>
      <c r="E14" s="11">
        <v>140000</v>
      </c>
      <c r="F14" s="11">
        <v>130000</v>
      </c>
      <c r="G14" s="32">
        <v>0.96</v>
      </c>
      <c r="H14" s="11">
        <v>7</v>
      </c>
      <c r="I14" s="11">
        <v>4.9000000000000004</v>
      </c>
      <c r="J14" s="11">
        <v>1</v>
      </c>
      <c r="K14" s="11">
        <v>145</v>
      </c>
      <c r="L14" s="11">
        <v>4.9000000000000004</v>
      </c>
      <c r="M14" s="11" t="str">
        <f t="shared" si="0"/>
        <v>Achieved</v>
      </c>
      <c r="N14" s="11" t="str">
        <f t="shared" si="1"/>
        <v>Achieved</v>
      </c>
      <c r="O14" s="11" t="str" cm="1">
        <f t="array" ref="O14">_xlfn.IFS(E13&gt;=120000,"High",E13&gt;=80000,"Medium",E13&lt;=80000,"Low")</f>
        <v>Low</v>
      </c>
      <c r="P14" s="11" t="str">
        <f t="shared" si="2"/>
        <v>Yes</v>
      </c>
      <c r="Q14" s="11" t="str">
        <f t="shared" si="3"/>
        <v>Good</v>
      </c>
      <c r="R14" s="11" t="str">
        <f t="shared" si="4"/>
        <v>No</v>
      </c>
      <c r="S14" s="11" t="str" cm="1">
        <f t="array" ref="S14">_xlfn.IFS(I14&gt;=4.5,"Excellent",I14&gt;=4,"Good",I14,"Average")</f>
        <v>Excellent</v>
      </c>
      <c r="T14" s="11" t="str" cm="1">
        <f t="array" ref="T14">_xlfn.SWITCH(S14,"Excellent","25%hike","Good","15%hike","Average","10%hike")</f>
        <v>25%hike</v>
      </c>
    </row>
    <row r="15" spans="1:20" x14ac:dyDescent="0.3">
      <c r="A15" s="11" t="s">
        <v>156</v>
      </c>
      <c r="B15" s="11" t="s">
        <v>157</v>
      </c>
      <c r="C15" s="11" t="s">
        <v>139</v>
      </c>
      <c r="D15" s="11" t="s">
        <v>134</v>
      </c>
      <c r="E15" s="11">
        <v>90000</v>
      </c>
      <c r="F15" s="11">
        <v>95000</v>
      </c>
      <c r="G15" s="32">
        <v>0.89</v>
      </c>
      <c r="H15" s="11">
        <v>3</v>
      </c>
      <c r="I15" s="11">
        <v>4</v>
      </c>
      <c r="J15" s="11">
        <v>3</v>
      </c>
      <c r="K15" s="11">
        <v>100</v>
      </c>
      <c r="L15" s="11">
        <v>4.0999999999999996</v>
      </c>
      <c r="M15" s="11" t="str">
        <f t="shared" si="0"/>
        <v>Not Achieved</v>
      </c>
      <c r="N15" s="11" t="str">
        <f t="shared" si="1"/>
        <v>Achieved</v>
      </c>
      <c r="O15" s="11" t="str" cm="1">
        <f t="array" ref="O15">_xlfn.IFS(E14&gt;=120000,"High",E14&gt;=80000,"Medium",E14&lt;=80000,"Low")</f>
        <v>High</v>
      </c>
      <c r="P15" s="11" t="str">
        <f t="shared" si="2"/>
        <v>No</v>
      </c>
      <c r="Q15" s="11" t="str">
        <f t="shared" si="3"/>
        <v>Bad</v>
      </c>
      <c r="R15" s="11" t="str">
        <f t="shared" si="4"/>
        <v>No</v>
      </c>
      <c r="S15" s="11" t="str" cm="1">
        <f t="array" ref="S15">_xlfn.IFS(I15&gt;=4.5,"Excellent",I15&gt;=4,"Good",I15,"Average")</f>
        <v>Good</v>
      </c>
      <c r="T15" s="11" t="str" cm="1">
        <f t="array" ref="T15">_xlfn.SWITCH(S15,"Excellent","25%hike","Good","15%hike","Average","10%hike")</f>
        <v>15%hike</v>
      </c>
    </row>
    <row r="16" spans="1:20" x14ac:dyDescent="0.3">
      <c r="A16" s="11" t="s">
        <v>158</v>
      </c>
      <c r="B16" s="11" t="s">
        <v>159</v>
      </c>
      <c r="C16" s="11" t="s">
        <v>129</v>
      </c>
      <c r="D16" s="11" t="s">
        <v>130</v>
      </c>
      <c r="E16" s="11">
        <v>100000</v>
      </c>
      <c r="F16" s="11">
        <v>100000</v>
      </c>
      <c r="G16" s="32">
        <v>0.91</v>
      </c>
      <c r="H16" s="11">
        <v>4</v>
      </c>
      <c r="I16" s="11">
        <v>4.3</v>
      </c>
      <c r="J16" s="11">
        <v>2</v>
      </c>
      <c r="K16" s="11">
        <v>115</v>
      </c>
      <c r="L16" s="11">
        <v>4.4000000000000004</v>
      </c>
      <c r="M16" s="11" t="str">
        <f t="shared" si="0"/>
        <v>Achieved</v>
      </c>
      <c r="N16" s="11" t="str">
        <f t="shared" si="1"/>
        <v>Achieved</v>
      </c>
      <c r="O16" s="11" t="str" cm="1">
        <f t="array" ref="O16">_xlfn.IFS(E15&gt;=120000,"High",E15&gt;=80000,"Medium",E15&lt;=80000,"Low")</f>
        <v>Medium</v>
      </c>
      <c r="P16" s="11" t="str">
        <f t="shared" si="2"/>
        <v>Yes</v>
      </c>
      <c r="Q16" s="11" t="str">
        <f t="shared" si="3"/>
        <v>Bad</v>
      </c>
      <c r="R16" s="11" t="str">
        <f t="shared" si="4"/>
        <v>No</v>
      </c>
      <c r="S16" s="11" t="str" cm="1">
        <f t="array" ref="S16">_xlfn.IFS(I16&gt;=4.5,"Excellent",I16&gt;=4,"Good",I16,"Average")</f>
        <v>Good</v>
      </c>
      <c r="T16" s="11" t="str" cm="1">
        <f t="array" ref="T16">_xlfn.SWITCH(S16,"Excellent","25%hike","Good","15%hike","Average","10%hike")</f>
        <v>15%hike</v>
      </c>
    </row>
    <row r="17" spans="1:20" x14ac:dyDescent="0.3">
      <c r="A17" s="11" t="s">
        <v>160</v>
      </c>
      <c r="B17" s="11" t="s">
        <v>161</v>
      </c>
      <c r="C17" s="11" t="s">
        <v>143</v>
      </c>
      <c r="D17" s="11" t="s">
        <v>140</v>
      </c>
      <c r="E17" s="11">
        <v>85000</v>
      </c>
      <c r="F17" s="11">
        <v>90000</v>
      </c>
      <c r="G17" s="32">
        <v>0.87</v>
      </c>
      <c r="H17" s="11">
        <v>2</v>
      </c>
      <c r="I17" s="11">
        <v>3.7</v>
      </c>
      <c r="J17" s="11">
        <v>4</v>
      </c>
      <c r="K17" s="11">
        <v>90</v>
      </c>
      <c r="L17" s="11">
        <v>3.8</v>
      </c>
      <c r="M17" s="11" t="str">
        <f t="shared" si="0"/>
        <v>Not Achieved</v>
      </c>
      <c r="N17" s="11" t="str">
        <f t="shared" si="1"/>
        <v>Achieved</v>
      </c>
      <c r="O17" s="11" t="str" cm="1">
        <f t="array" ref="O17">_xlfn.IFS(E16&gt;=120000,"High",E16&gt;=80000,"Medium",E16&lt;=80000,"Low")</f>
        <v>Medium</v>
      </c>
      <c r="P17" s="11" t="str">
        <f t="shared" si="2"/>
        <v>No</v>
      </c>
      <c r="Q17" s="11" t="str">
        <f t="shared" si="3"/>
        <v>Bad</v>
      </c>
      <c r="R17" s="11" t="str">
        <f t="shared" si="4"/>
        <v>No</v>
      </c>
      <c r="S17" s="11" t="str" cm="1">
        <f t="array" ref="S17">_xlfn.IFS(I17&gt;=4.5,"Excellent",I17&gt;=4,"Good",I17,"Average")</f>
        <v>Average</v>
      </c>
      <c r="T17" s="11" t="str" cm="1">
        <f t="array" ref="T17">_xlfn.SWITCH(S17,"Excellent","25%hike","Good","15%hike","Average","10%hike")</f>
        <v>10%hike</v>
      </c>
    </row>
    <row r="18" spans="1:20" x14ac:dyDescent="0.3">
      <c r="A18" s="11" t="s">
        <v>162</v>
      </c>
      <c r="B18" s="11" t="s">
        <v>163</v>
      </c>
      <c r="C18" s="11" t="s">
        <v>133</v>
      </c>
      <c r="D18" s="11" t="s">
        <v>134</v>
      </c>
      <c r="E18" s="11">
        <v>75000</v>
      </c>
      <c r="F18" s="11">
        <v>85000</v>
      </c>
      <c r="G18" s="32">
        <v>0.82</v>
      </c>
      <c r="H18" s="11">
        <v>3</v>
      </c>
      <c r="I18" s="11">
        <v>3.6</v>
      </c>
      <c r="J18" s="11">
        <v>5</v>
      </c>
      <c r="K18" s="11">
        <v>85</v>
      </c>
      <c r="L18" s="11">
        <v>3.7</v>
      </c>
      <c r="M18" s="11" t="str">
        <f t="shared" si="0"/>
        <v>Not Achieved</v>
      </c>
      <c r="N18" s="11" t="str">
        <f>IF(G18&lt;=85%,"Not Achieved","Achieved")</f>
        <v>Not Achieved</v>
      </c>
      <c r="O18" s="11" t="str" cm="1">
        <f t="array" ref="O18">_xlfn.IFS(E17&gt;=120000,"High",E17&gt;=80000,"Medium",E17&lt;=80000,"Low")</f>
        <v>Medium</v>
      </c>
      <c r="P18" s="11" t="str">
        <f t="shared" si="2"/>
        <v>No</v>
      </c>
      <c r="Q18" s="11" t="str">
        <f t="shared" si="3"/>
        <v>Bad</v>
      </c>
      <c r="R18" s="11" t="str">
        <f t="shared" si="4"/>
        <v>No</v>
      </c>
      <c r="S18" s="11" t="str" cm="1">
        <f t="array" ref="S18">_xlfn.IFS(I18&gt;=4.5,"Excellent",I18&gt;=4,"Good",I18,"Average")</f>
        <v>Average</v>
      </c>
      <c r="T18" s="11" t="str" cm="1">
        <f t="array" ref="T18">_xlfn.SWITCH(S18,"Excellent","25%hike","Good","15%hike","Average","10%hike")</f>
        <v>10%hike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1BE3-46CB-48FD-9DF2-12CFC37EF512}">
  <dimension ref="A1:T98"/>
  <sheetViews>
    <sheetView topLeftCell="A48" zoomScale="95" zoomScaleNormal="95" workbookViewId="0">
      <selection activeCell="I68" sqref="I68"/>
    </sheetView>
  </sheetViews>
  <sheetFormatPr defaultRowHeight="14.4" x14ac:dyDescent="0.3"/>
  <cols>
    <col min="2" max="2" width="54.77734375" bestFit="1" customWidth="1"/>
    <col min="3" max="3" width="13.21875" customWidth="1"/>
    <col min="4" max="4" width="15" bestFit="1" customWidth="1"/>
    <col min="5" max="5" width="25.88671875" customWidth="1"/>
    <col min="6" max="6" width="29.77734375" customWidth="1"/>
    <col min="7" max="7" width="30.109375" customWidth="1"/>
    <col min="8" max="8" width="28.5546875" customWidth="1"/>
    <col min="10" max="10" width="18.77734375" bestFit="1" customWidth="1"/>
    <col min="11" max="11" width="21.77734375" bestFit="1" customWidth="1"/>
    <col min="12" max="13" width="21.77734375" customWidth="1"/>
    <col min="14" max="15" width="18.77734375" customWidth="1"/>
    <col min="16" max="16" width="11.21875" customWidth="1"/>
    <col min="17" max="17" width="13.33203125" customWidth="1"/>
    <col min="19" max="19" width="30.109375" customWidth="1"/>
  </cols>
  <sheetData>
    <row r="1" spans="2:17" ht="15" thickBot="1" x14ac:dyDescent="0.35"/>
    <row r="2" spans="2:17" ht="15" customHeight="1" x14ac:dyDescent="0.6">
      <c r="B2" s="41" t="s">
        <v>0</v>
      </c>
      <c r="C2" s="42"/>
      <c r="D2" s="42"/>
      <c r="E2" s="42"/>
      <c r="F2" s="42"/>
      <c r="G2" s="42"/>
      <c r="H2" s="42"/>
      <c r="I2" s="42"/>
      <c r="J2" s="43"/>
      <c r="K2" s="1"/>
      <c r="L2" s="1"/>
      <c r="M2" s="1"/>
      <c r="N2" s="1"/>
      <c r="O2" s="1"/>
      <c r="P2" s="1"/>
      <c r="Q2" s="2"/>
    </row>
    <row r="3" spans="2:17" ht="15.75" customHeight="1" thickBot="1" x14ac:dyDescent="0.65">
      <c r="B3" s="44"/>
      <c r="C3" s="45"/>
      <c r="D3" s="45"/>
      <c r="E3" s="45"/>
      <c r="F3" s="45"/>
      <c r="G3" s="45"/>
      <c r="H3" s="45"/>
      <c r="I3" s="45"/>
      <c r="J3" s="46"/>
      <c r="K3" s="3"/>
      <c r="L3" s="3"/>
      <c r="M3" s="3"/>
      <c r="N3" s="3"/>
      <c r="O3" s="3"/>
      <c r="P3" s="3"/>
      <c r="Q3" s="4"/>
    </row>
    <row r="5" spans="2:17" x14ac:dyDescent="0.3">
      <c r="B5" s="5" t="s">
        <v>1</v>
      </c>
      <c r="D5" s="5" t="s">
        <v>0</v>
      </c>
      <c r="E5" s="5" t="s">
        <v>2</v>
      </c>
      <c r="F5" s="5" t="s">
        <v>3</v>
      </c>
    </row>
    <row r="6" spans="2:17" ht="19.5" customHeight="1" x14ac:dyDescent="0.3">
      <c r="B6" s="6" t="s">
        <v>4</v>
      </c>
      <c r="D6" s="7" t="s">
        <v>5</v>
      </c>
      <c r="E6" s="6" t="s">
        <v>6</v>
      </c>
      <c r="F6" s="8" t="s">
        <v>7</v>
      </c>
      <c r="H6" s="9" t="s">
        <v>8</v>
      </c>
      <c r="I6" s="9" t="s">
        <v>9</v>
      </c>
      <c r="J6" s="9" t="s">
        <v>9</v>
      </c>
      <c r="K6" s="9" t="s">
        <v>9</v>
      </c>
      <c r="L6" s="9"/>
      <c r="M6" s="9"/>
      <c r="N6" s="9"/>
      <c r="O6" s="9" t="s">
        <v>10</v>
      </c>
      <c r="P6" s="10"/>
      <c r="Q6" t="s">
        <v>11</v>
      </c>
    </row>
    <row r="7" spans="2:17" x14ac:dyDescent="0.3">
      <c r="B7" s="6" t="s">
        <v>12</v>
      </c>
      <c r="D7" s="7" t="s">
        <v>13</v>
      </c>
      <c r="E7" s="6" t="s">
        <v>14</v>
      </c>
      <c r="F7" s="8" t="s">
        <v>15</v>
      </c>
      <c r="H7" s="11">
        <v>34</v>
      </c>
      <c r="I7" s="11" t="str">
        <f>IF(H7&gt;=35,"Pass","Fail")</f>
        <v>Fail</v>
      </c>
      <c r="J7" s="11" t="str">
        <f>IF(H7&lt;=35,"Fail","Pass")</f>
        <v>Fail</v>
      </c>
      <c r="K7" s="11" t="str">
        <f ca="1">_xlfn.FORMULATEXT(I7)</f>
        <v>=IF(H7&gt;=35,"Pass","Fail")</v>
      </c>
      <c r="L7" s="11" t="str">
        <f ca="1">_xlfn.FORMULATEXT(J7)</f>
        <v>=IF(H7&lt;=35,"Fail","Pass")</v>
      </c>
      <c r="M7" s="11" t="str">
        <f>IF(H7&lt;=35,"Pass","Fail")</f>
        <v>Pass</v>
      </c>
      <c r="N7" s="11" t="b">
        <f>I7=J7</f>
        <v>1</v>
      </c>
      <c r="O7" s="11" t="b">
        <f>EXACT(I7,J7)</f>
        <v>1</v>
      </c>
      <c r="Q7" t="s">
        <v>16</v>
      </c>
    </row>
    <row r="8" spans="2:17" x14ac:dyDescent="0.3">
      <c r="B8" s="6" t="s">
        <v>17</v>
      </c>
      <c r="D8" s="7" t="s">
        <v>18</v>
      </c>
      <c r="E8" s="6" t="s">
        <v>19</v>
      </c>
      <c r="F8" s="8" t="s">
        <v>20</v>
      </c>
      <c r="H8" s="11">
        <v>45</v>
      </c>
      <c r="I8" s="11" t="str">
        <f>IF(H8&gt;=35,"Pass","Fail")</f>
        <v>Pass</v>
      </c>
      <c r="J8" s="11" t="str">
        <f t="shared" ref="J8:J13" si="0">IF(H8&lt;=35,"Fail","Pass")</f>
        <v>Pass</v>
      </c>
      <c r="K8" s="11"/>
      <c r="L8" s="11"/>
      <c r="M8" s="11" t="str">
        <f t="shared" ref="M8:M13" si="1">IF(H8&lt;=35,"Pass","Fail")</f>
        <v>Fail</v>
      </c>
      <c r="N8" s="11" t="b">
        <f t="shared" ref="N8:N14" si="2">I8=J8</f>
        <v>1</v>
      </c>
      <c r="O8" s="11" t="b">
        <f t="shared" ref="O8:O14" si="3">EXACT(I8,J8)</f>
        <v>1</v>
      </c>
      <c r="Q8" t="s">
        <v>21</v>
      </c>
    </row>
    <row r="9" spans="2:17" x14ac:dyDescent="0.3">
      <c r="B9" s="6" t="s">
        <v>22</v>
      </c>
      <c r="D9" s="7" t="s">
        <v>23</v>
      </c>
      <c r="E9" s="6" t="s">
        <v>24</v>
      </c>
      <c r="F9" s="6"/>
      <c r="H9" s="11">
        <v>65</v>
      </c>
      <c r="I9" s="11" t="str">
        <f t="shared" ref="I9:I13" si="4">IF(H9&gt;=35,"Pass","Fail")</f>
        <v>Pass</v>
      </c>
      <c r="J9" s="11" t="str">
        <f t="shared" si="0"/>
        <v>Pass</v>
      </c>
      <c r="K9" s="11"/>
      <c r="L9" s="11"/>
      <c r="M9" s="11" t="str">
        <f t="shared" si="1"/>
        <v>Fail</v>
      </c>
      <c r="N9" s="11" t="b">
        <f t="shared" si="2"/>
        <v>1</v>
      </c>
      <c r="O9" s="11" t="b">
        <f t="shared" si="3"/>
        <v>1</v>
      </c>
      <c r="Q9" t="s">
        <v>25</v>
      </c>
    </row>
    <row r="10" spans="2:17" x14ac:dyDescent="0.3">
      <c r="D10" s="7" t="s">
        <v>26</v>
      </c>
      <c r="E10" s="6" t="s">
        <v>27</v>
      </c>
      <c r="F10" s="6"/>
      <c r="H10" s="11">
        <v>23</v>
      </c>
      <c r="I10" s="11" t="str">
        <f t="shared" si="4"/>
        <v>Fail</v>
      </c>
      <c r="J10" s="11" t="str">
        <f t="shared" si="0"/>
        <v>Fail</v>
      </c>
      <c r="K10" s="11"/>
      <c r="L10" s="11"/>
      <c r="M10" s="11" t="str">
        <f t="shared" si="1"/>
        <v>Pass</v>
      </c>
      <c r="N10" s="11" t="b">
        <f t="shared" si="2"/>
        <v>1</v>
      </c>
      <c r="O10" s="11" t="b">
        <f t="shared" si="3"/>
        <v>1</v>
      </c>
      <c r="Q10" t="s">
        <v>28</v>
      </c>
    </row>
    <row r="11" spans="2:17" x14ac:dyDescent="0.3">
      <c r="C11" t="s">
        <v>29</v>
      </c>
      <c r="D11" s="7" t="s">
        <v>30</v>
      </c>
      <c r="E11" s="6" t="s">
        <v>31</v>
      </c>
      <c r="F11" s="6"/>
      <c r="H11" s="11">
        <v>89</v>
      </c>
      <c r="I11" s="11" t="str">
        <f t="shared" si="4"/>
        <v>Pass</v>
      </c>
      <c r="J11" s="11" t="str">
        <f t="shared" si="0"/>
        <v>Pass</v>
      </c>
      <c r="K11" s="11"/>
      <c r="L11" s="11"/>
      <c r="M11" s="11" t="str">
        <f t="shared" si="1"/>
        <v>Fail</v>
      </c>
      <c r="N11" s="11" t="b">
        <f t="shared" si="2"/>
        <v>1</v>
      </c>
      <c r="O11" s="11" t="b">
        <f t="shared" si="3"/>
        <v>1</v>
      </c>
    </row>
    <row r="12" spans="2:17" ht="17.25" customHeight="1" x14ac:dyDescent="0.3">
      <c r="B12" t="s">
        <v>32</v>
      </c>
      <c r="D12" s="7" t="s">
        <v>33</v>
      </c>
      <c r="E12" s="6" t="s">
        <v>34</v>
      </c>
      <c r="F12" s="6"/>
      <c r="H12" s="11">
        <v>96</v>
      </c>
      <c r="I12" s="11" t="str">
        <f t="shared" si="4"/>
        <v>Pass</v>
      </c>
      <c r="J12" s="11" t="str">
        <f t="shared" si="0"/>
        <v>Pass</v>
      </c>
      <c r="K12" s="11"/>
      <c r="L12" s="11"/>
      <c r="M12" s="11" t="str">
        <f t="shared" si="1"/>
        <v>Fail</v>
      </c>
      <c r="N12" s="11" t="b">
        <f t="shared" si="2"/>
        <v>1</v>
      </c>
      <c r="O12" s="11" t="b">
        <f t="shared" si="3"/>
        <v>1</v>
      </c>
    </row>
    <row r="13" spans="2:17" ht="17.25" customHeight="1" x14ac:dyDescent="0.3">
      <c r="B13" t="s">
        <v>35</v>
      </c>
      <c r="D13" s="7" t="s">
        <v>36</v>
      </c>
      <c r="E13" s="6" t="s">
        <v>37</v>
      </c>
      <c r="F13" s="6"/>
      <c r="H13" s="11">
        <v>56</v>
      </c>
      <c r="I13" s="11" t="str">
        <f t="shared" si="4"/>
        <v>Pass</v>
      </c>
      <c r="J13" s="11" t="str">
        <f t="shared" si="0"/>
        <v>Pass</v>
      </c>
      <c r="K13" s="11"/>
      <c r="L13" s="11"/>
      <c r="M13" s="11" t="str">
        <f t="shared" si="1"/>
        <v>Fail</v>
      </c>
      <c r="N13" s="11" t="b">
        <f t="shared" si="2"/>
        <v>1</v>
      </c>
      <c r="O13" s="11" t="b">
        <f t="shared" si="3"/>
        <v>1</v>
      </c>
    </row>
    <row r="14" spans="2:17" x14ac:dyDescent="0.3">
      <c r="B14" t="s">
        <v>38</v>
      </c>
      <c r="I14" t="s">
        <v>39</v>
      </c>
      <c r="J14" t="s">
        <v>40</v>
      </c>
      <c r="N14" s="11" t="b">
        <f t="shared" si="2"/>
        <v>0</v>
      </c>
      <c r="O14" s="11" t="b">
        <f t="shared" si="3"/>
        <v>0</v>
      </c>
    </row>
    <row r="15" spans="2:17" x14ac:dyDescent="0.3">
      <c r="B15" t="s">
        <v>41</v>
      </c>
      <c r="C15" t="s">
        <v>42</v>
      </c>
      <c r="D15" s="12" t="s">
        <v>43</v>
      </c>
      <c r="E15" s="5" t="s">
        <v>44</v>
      </c>
      <c r="F15" s="5" t="s">
        <v>45</v>
      </c>
      <c r="G15" s="5" t="s">
        <v>46</v>
      </c>
      <c r="H15" s="13" t="s">
        <v>47</v>
      </c>
    </row>
    <row r="16" spans="2:17" x14ac:dyDescent="0.3">
      <c r="B16" t="s">
        <v>36</v>
      </c>
      <c r="D16" s="6" t="b">
        <v>1</v>
      </c>
      <c r="E16" s="6" t="b">
        <v>1</v>
      </c>
      <c r="F16" s="6" t="b">
        <v>1</v>
      </c>
      <c r="G16" s="6" t="b">
        <v>1</v>
      </c>
    </row>
    <row r="17" spans="2:20" x14ac:dyDescent="0.3">
      <c r="D17" s="6" t="b">
        <v>1</v>
      </c>
      <c r="E17" s="6" t="b">
        <v>0</v>
      </c>
      <c r="F17" s="6" t="b">
        <v>0</v>
      </c>
      <c r="G17" s="6" t="b">
        <v>1</v>
      </c>
    </row>
    <row r="18" spans="2:20" x14ac:dyDescent="0.3">
      <c r="D18" s="6" t="b">
        <v>0</v>
      </c>
      <c r="E18" s="6" t="b">
        <v>1</v>
      </c>
      <c r="F18" s="6" t="b">
        <v>0</v>
      </c>
      <c r="G18" s="6" t="b">
        <v>1</v>
      </c>
    </row>
    <row r="19" spans="2:20" x14ac:dyDescent="0.3">
      <c r="D19" s="6" t="b">
        <v>0</v>
      </c>
      <c r="E19" s="6" t="b">
        <v>0</v>
      </c>
      <c r="F19" s="6" t="b">
        <v>0</v>
      </c>
      <c r="G19" s="6" t="b">
        <v>0</v>
      </c>
    </row>
    <row r="22" spans="2:20" x14ac:dyDescent="0.3">
      <c r="B22" s="14" t="s">
        <v>48</v>
      </c>
      <c r="D22" s="15" t="s">
        <v>49</v>
      </c>
      <c r="E22" s="15" t="s">
        <v>50</v>
      </c>
      <c r="F22" s="15" t="s">
        <v>50</v>
      </c>
      <c r="G22" s="15" t="s">
        <v>50</v>
      </c>
      <c r="T22" t="str">
        <f ca="1">_xlfn.FORMULATEXT(E23)</f>
        <v>=IF(D23&gt;35,"Pass","Fail")</v>
      </c>
    </row>
    <row r="23" spans="2:20" x14ac:dyDescent="0.3">
      <c r="B23" s="14" t="s">
        <v>51</v>
      </c>
      <c r="C23" s="14" t="s">
        <v>52</v>
      </c>
      <c r="D23" s="11">
        <v>86</v>
      </c>
      <c r="E23" s="11" t="str">
        <f>IF(D23&gt;35,"Pass","Fail")</f>
        <v>Pass</v>
      </c>
      <c r="F23" t="str">
        <f>IF(D23&lt;=35,"Fail","Pass")</f>
        <v>Pass</v>
      </c>
      <c r="G23" s="11"/>
    </row>
    <row r="24" spans="2:20" x14ac:dyDescent="0.3">
      <c r="C24" s="14" t="s">
        <v>53</v>
      </c>
      <c r="D24" s="11">
        <v>25</v>
      </c>
      <c r="E24" s="11" t="str">
        <f t="shared" ref="E24:E32" si="5">IF(D24&gt;35,"Pass","Fail")</f>
        <v>Fail</v>
      </c>
      <c r="F24" t="str">
        <f t="shared" ref="F24:F32" si="6">IF(D24&lt;=35,"Fail","Pass")</f>
        <v>Fail</v>
      </c>
      <c r="G24" s="11"/>
    </row>
    <row r="25" spans="2:20" x14ac:dyDescent="0.3">
      <c r="D25" s="11">
        <v>34</v>
      </c>
      <c r="E25" s="11" t="str">
        <f t="shared" si="5"/>
        <v>Fail</v>
      </c>
      <c r="F25" t="str">
        <f t="shared" si="6"/>
        <v>Fail</v>
      </c>
      <c r="G25" s="11"/>
    </row>
    <row r="26" spans="2:20" x14ac:dyDescent="0.3">
      <c r="D26" s="11">
        <v>74</v>
      </c>
      <c r="E26" s="11" t="str">
        <f t="shared" si="5"/>
        <v>Pass</v>
      </c>
      <c r="F26" t="str">
        <f t="shared" si="6"/>
        <v>Pass</v>
      </c>
      <c r="G26" s="11"/>
    </row>
    <row r="27" spans="2:20" x14ac:dyDescent="0.3">
      <c r="D27" s="11">
        <v>33</v>
      </c>
      <c r="E27" s="11" t="str">
        <f t="shared" si="5"/>
        <v>Fail</v>
      </c>
      <c r="F27" t="str">
        <f t="shared" si="6"/>
        <v>Fail</v>
      </c>
      <c r="G27" s="11"/>
    </row>
    <row r="28" spans="2:20" x14ac:dyDescent="0.3">
      <c r="D28" s="11">
        <v>20</v>
      </c>
      <c r="E28" s="11" t="str">
        <f t="shared" si="5"/>
        <v>Fail</v>
      </c>
      <c r="F28" t="str">
        <f t="shared" si="6"/>
        <v>Fail</v>
      </c>
      <c r="G28" s="11"/>
    </row>
    <row r="29" spans="2:20" x14ac:dyDescent="0.3">
      <c r="D29" s="11">
        <v>74</v>
      </c>
      <c r="E29" s="11" t="str">
        <f t="shared" si="5"/>
        <v>Pass</v>
      </c>
      <c r="F29" t="str">
        <f t="shared" si="6"/>
        <v>Pass</v>
      </c>
      <c r="G29" s="11"/>
    </row>
    <row r="30" spans="2:20" x14ac:dyDescent="0.3">
      <c r="D30" s="11">
        <v>37</v>
      </c>
      <c r="E30" s="11" t="str">
        <f t="shared" si="5"/>
        <v>Pass</v>
      </c>
      <c r="F30" t="str">
        <f t="shared" si="6"/>
        <v>Pass</v>
      </c>
      <c r="G30" s="11"/>
    </row>
    <row r="31" spans="2:20" x14ac:dyDescent="0.3">
      <c r="D31" s="11">
        <v>68</v>
      </c>
      <c r="E31" s="11" t="str">
        <f t="shared" si="5"/>
        <v>Pass</v>
      </c>
      <c r="F31" t="str">
        <f t="shared" si="6"/>
        <v>Pass</v>
      </c>
      <c r="G31" s="11"/>
    </row>
    <row r="32" spans="2:20" x14ac:dyDescent="0.3">
      <c r="D32" s="11">
        <v>30</v>
      </c>
      <c r="E32" s="11" t="str">
        <f t="shared" si="5"/>
        <v>Fail</v>
      </c>
      <c r="F32" t="str">
        <f t="shared" si="6"/>
        <v>Fail</v>
      </c>
      <c r="G32" s="11"/>
    </row>
    <row r="33" spans="2:19" x14ac:dyDescent="0.3">
      <c r="E33" s="11"/>
    </row>
    <row r="35" spans="2:19" x14ac:dyDescent="0.3">
      <c r="B35" s="14" t="s">
        <v>54</v>
      </c>
      <c r="D35" s="5" t="s">
        <v>55</v>
      </c>
      <c r="E35" s="5" t="s">
        <v>56</v>
      </c>
      <c r="F35" s="5" t="s">
        <v>45</v>
      </c>
      <c r="G35" s="5" t="s">
        <v>50</v>
      </c>
      <c r="H35" s="13" t="s">
        <v>183</v>
      </c>
      <c r="I35" s="5" t="s">
        <v>57</v>
      </c>
      <c r="J35" s="5" t="s">
        <v>58</v>
      </c>
      <c r="K35" s="5" t="s">
        <v>59</v>
      </c>
      <c r="L35" s="5" t="s">
        <v>60</v>
      </c>
      <c r="M35" s="5" t="s">
        <v>61</v>
      </c>
    </row>
    <row r="36" spans="2:19" x14ac:dyDescent="0.3">
      <c r="B36" s="10" t="s">
        <v>62</v>
      </c>
      <c r="C36" t="s">
        <v>39</v>
      </c>
      <c r="D36" s="6">
        <v>22</v>
      </c>
      <c r="E36" s="6">
        <v>35</v>
      </c>
      <c r="F36" s="6" t="b">
        <f>AND(D36&gt;=35,E36&gt;=35)</f>
        <v>0</v>
      </c>
      <c r="G36" s="6" t="b">
        <f>AND(D36&gt;=35,E36&gt;=35)</f>
        <v>0</v>
      </c>
      <c r="H36" t="str">
        <f>IF(AND(D36&gt;=35,E36&gt;=35),"Pass","Fail")</f>
        <v>Fail</v>
      </c>
      <c r="I36" s="6">
        <v>22</v>
      </c>
      <c r="J36" s="6">
        <v>35</v>
      </c>
      <c r="K36" s="6">
        <v>39</v>
      </c>
      <c r="L36" s="6" t="b">
        <f>AND(I36&gt;=35,J36&gt;=35,K36&gt;=35)</f>
        <v>0</v>
      </c>
      <c r="M36" s="6" t="str">
        <f>IF(AND(I36&gt;=35,J36&gt;=35,K36&gt;=35),"Pass","Fail")</f>
        <v>Fail</v>
      </c>
    </row>
    <row r="37" spans="2:19" x14ac:dyDescent="0.3">
      <c r="C37" t="s">
        <v>39</v>
      </c>
      <c r="D37" s="6">
        <v>61</v>
      </c>
      <c r="E37" s="6">
        <v>33</v>
      </c>
      <c r="F37" s="6" t="b">
        <f t="shared" ref="F37:F45" si="7">AND(D37&gt;=35,E37&gt;=35)</f>
        <v>0</v>
      </c>
      <c r="G37" s="6" t="b">
        <f t="shared" ref="G37:G45" si="8">AND(D37&gt;=35,E37&gt;=35)</f>
        <v>0</v>
      </c>
      <c r="H37" t="str">
        <f t="shared" ref="H37:H45" si="9">IF(AND(D37&gt;=35,E37&gt;=35),"Pass","Fail")</f>
        <v>Fail</v>
      </c>
      <c r="I37" s="6">
        <v>61</v>
      </c>
      <c r="J37" s="6">
        <v>57</v>
      </c>
      <c r="K37" s="6">
        <v>22</v>
      </c>
      <c r="L37" s="6" t="b">
        <f t="shared" ref="L37:L45" si="10">AND(I37&gt;=35,J37&gt;=35,K37&gt;=35)</f>
        <v>0</v>
      </c>
      <c r="M37" s="6" t="str">
        <f t="shared" ref="M37:M45" si="11">IF(AND(I37&gt;=35,J37&gt;=35,K37&gt;=35),"Pass","Fail")</f>
        <v>Fail</v>
      </c>
    </row>
    <row r="38" spans="2:19" x14ac:dyDescent="0.3">
      <c r="B38" t="s">
        <v>63</v>
      </c>
      <c r="C38" t="s">
        <v>39</v>
      </c>
      <c r="D38" s="6">
        <v>65</v>
      </c>
      <c r="E38" s="6">
        <v>34</v>
      </c>
      <c r="F38" s="6" t="b">
        <f t="shared" si="7"/>
        <v>0</v>
      </c>
      <c r="G38" s="6" t="b">
        <f t="shared" si="8"/>
        <v>0</v>
      </c>
      <c r="H38" t="str">
        <f t="shared" si="9"/>
        <v>Fail</v>
      </c>
      <c r="I38" s="6">
        <v>65</v>
      </c>
      <c r="J38" s="6">
        <v>34</v>
      </c>
      <c r="K38" s="6">
        <v>72</v>
      </c>
      <c r="L38" s="6" t="b">
        <f t="shared" si="10"/>
        <v>0</v>
      </c>
      <c r="M38" s="6" t="str">
        <f t="shared" si="11"/>
        <v>Fail</v>
      </c>
    </row>
    <row r="39" spans="2:19" x14ac:dyDescent="0.3">
      <c r="B39" t="s">
        <v>58</v>
      </c>
      <c r="C39" t="s">
        <v>39</v>
      </c>
      <c r="D39" s="6">
        <v>31</v>
      </c>
      <c r="E39" s="6">
        <v>31</v>
      </c>
      <c r="F39" s="6" t="b">
        <f t="shared" si="7"/>
        <v>0</v>
      </c>
      <c r="G39" s="6" t="b">
        <f t="shared" si="8"/>
        <v>0</v>
      </c>
      <c r="H39" t="str">
        <f t="shared" si="9"/>
        <v>Fail</v>
      </c>
      <c r="I39" s="6">
        <v>31</v>
      </c>
      <c r="J39" s="6">
        <v>31</v>
      </c>
      <c r="K39" s="6">
        <v>56</v>
      </c>
      <c r="L39" s="6" t="b">
        <f t="shared" si="10"/>
        <v>0</v>
      </c>
      <c r="M39" s="6" t="str">
        <f t="shared" si="11"/>
        <v>Fail</v>
      </c>
    </row>
    <row r="40" spans="2:19" x14ac:dyDescent="0.3">
      <c r="C40" t="s">
        <v>39</v>
      </c>
      <c r="D40" s="6">
        <v>80</v>
      </c>
      <c r="E40" s="6">
        <v>33</v>
      </c>
      <c r="F40" s="6" t="b">
        <f t="shared" si="7"/>
        <v>0</v>
      </c>
      <c r="G40" s="6" t="b">
        <f t="shared" si="8"/>
        <v>0</v>
      </c>
      <c r="H40" t="str">
        <f t="shared" si="9"/>
        <v>Fail</v>
      </c>
      <c r="I40" s="6">
        <v>80</v>
      </c>
      <c r="J40" s="6">
        <v>33</v>
      </c>
      <c r="K40" s="6">
        <v>20</v>
      </c>
      <c r="L40" s="6" t="b">
        <f t="shared" si="10"/>
        <v>0</v>
      </c>
      <c r="M40" s="6" t="str">
        <f t="shared" si="11"/>
        <v>Fail</v>
      </c>
    </row>
    <row r="41" spans="2:19" x14ac:dyDescent="0.3">
      <c r="C41" t="s">
        <v>40</v>
      </c>
      <c r="D41" s="6">
        <v>35</v>
      </c>
      <c r="E41" s="6">
        <v>86</v>
      </c>
      <c r="F41" s="6" t="b">
        <f t="shared" si="7"/>
        <v>1</v>
      </c>
      <c r="G41" s="6" t="b">
        <f t="shared" si="8"/>
        <v>1</v>
      </c>
      <c r="H41" t="str">
        <f t="shared" si="9"/>
        <v>Pass</v>
      </c>
      <c r="I41" s="6">
        <v>35</v>
      </c>
      <c r="J41" s="6">
        <v>86</v>
      </c>
      <c r="K41" s="6">
        <v>34</v>
      </c>
      <c r="L41" s="6" t="b">
        <f t="shared" si="10"/>
        <v>0</v>
      </c>
      <c r="M41" s="6" t="str">
        <f t="shared" si="11"/>
        <v>Fail</v>
      </c>
    </row>
    <row r="42" spans="2:19" x14ac:dyDescent="0.3">
      <c r="D42" s="6">
        <v>53</v>
      </c>
      <c r="E42" s="6">
        <v>78</v>
      </c>
      <c r="F42" s="6" t="b">
        <f t="shared" si="7"/>
        <v>1</v>
      </c>
      <c r="G42" s="6" t="b">
        <f t="shared" si="8"/>
        <v>1</v>
      </c>
      <c r="H42" t="str">
        <f t="shared" si="9"/>
        <v>Pass</v>
      </c>
      <c r="I42" s="6">
        <v>53</v>
      </c>
      <c r="J42" s="6">
        <v>78</v>
      </c>
      <c r="K42" s="6">
        <v>56</v>
      </c>
      <c r="L42" s="6" t="b">
        <f t="shared" si="10"/>
        <v>1</v>
      </c>
      <c r="M42" s="6" t="str">
        <f t="shared" si="11"/>
        <v>Pass</v>
      </c>
    </row>
    <row r="43" spans="2:19" x14ac:dyDescent="0.3">
      <c r="D43" s="6">
        <v>72</v>
      </c>
      <c r="E43" s="6">
        <v>64</v>
      </c>
      <c r="F43" s="6" t="b">
        <f t="shared" si="7"/>
        <v>1</v>
      </c>
      <c r="G43" s="6" t="b">
        <f t="shared" si="8"/>
        <v>1</v>
      </c>
      <c r="H43" t="str">
        <f t="shared" si="9"/>
        <v>Pass</v>
      </c>
      <c r="I43" s="6">
        <v>72</v>
      </c>
      <c r="J43" s="6">
        <v>64</v>
      </c>
      <c r="K43" s="6">
        <v>87</v>
      </c>
      <c r="L43" s="6" t="b">
        <f t="shared" si="10"/>
        <v>1</v>
      </c>
      <c r="M43" s="6" t="str">
        <f t="shared" si="11"/>
        <v>Pass</v>
      </c>
    </row>
    <row r="44" spans="2:19" x14ac:dyDescent="0.3">
      <c r="D44" s="6">
        <v>67</v>
      </c>
      <c r="E44" s="6">
        <v>88</v>
      </c>
      <c r="F44" s="6" t="b">
        <f t="shared" si="7"/>
        <v>1</v>
      </c>
      <c r="G44" s="6" t="b">
        <f t="shared" si="8"/>
        <v>1</v>
      </c>
      <c r="H44" t="str">
        <f t="shared" si="9"/>
        <v>Pass</v>
      </c>
      <c r="I44" s="6">
        <v>34</v>
      </c>
      <c r="J44" s="6">
        <v>88</v>
      </c>
      <c r="K44" s="6">
        <v>44</v>
      </c>
      <c r="L44" s="6" t="b">
        <f t="shared" si="10"/>
        <v>0</v>
      </c>
      <c r="M44" s="6" t="str">
        <f t="shared" si="11"/>
        <v>Fail</v>
      </c>
    </row>
    <row r="45" spans="2:19" x14ac:dyDescent="0.3">
      <c r="D45" s="6">
        <v>63</v>
      </c>
      <c r="E45" s="6">
        <v>45</v>
      </c>
      <c r="F45" s="6" t="b">
        <f t="shared" si="7"/>
        <v>1</v>
      </c>
      <c r="G45" s="6" t="b">
        <f t="shared" si="8"/>
        <v>1</v>
      </c>
      <c r="H45" t="str">
        <f t="shared" si="9"/>
        <v>Pass</v>
      </c>
      <c r="I45" s="6">
        <v>63</v>
      </c>
      <c r="J45" s="6">
        <v>20</v>
      </c>
      <c r="K45" s="6">
        <v>53</v>
      </c>
      <c r="L45" s="6" t="b">
        <f t="shared" si="10"/>
        <v>0</v>
      </c>
      <c r="M45" s="6" t="str">
        <f t="shared" si="11"/>
        <v>Fail</v>
      </c>
    </row>
    <row r="47" spans="2:19" x14ac:dyDescent="0.3">
      <c r="B47" s="14" t="s">
        <v>64</v>
      </c>
      <c r="D47" s="5" t="s">
        <v>55</v>
      </c>
      <c r="E47" s="5" t="s">
        <v>56</v>
      </c>
      <c r="F47" s="5" t="s">
        <v>46</v>
      </c>
      <c r="G47" s="5" t="s">
        <v>65</v>
      </c>
      <c r="I47" s="5" t="s">
        <v>57</v>
      </c>
      <c r="J47" s="5" t="s">
        <v>58</v>
      </c>
      <c r="K47" s="5" t="s">
        <v>59</v>
      </c>
      <c r="L47" s="5" t="s">
        <v>66</v>
      </c>
      <c r="M47" s="5" t="s">
        <v>67</v>
      </c>
      <c r="N47">
        <v>35</v>
      </c>
      <c r="O47" s="27" t="s">
        <v>57</v>
      </c>
      <c r="P47" s="11"/>
      <c r="Q47" s="11"/>
      <c r="R47" s="11"/>
      <c r="S47" s="11"/>
    </row>
    <row r="48" spans="2:19" x14ac:dyDescent="0.3">
      <c r="B48" t="s">
        <v>68</v>
      </c>
      <c r="D48" s="6">
        <v>22</v>
      </c>
      <c r="E48" s="6">
        <v>22</v>
      </c>
      <c r="F48" s="6" t="b">
        <f>OR(D48&gt;=35,E48&gt;=35)</f>
        <v>0</v>
      </c>
      <c r="G48" s="6" t="str">
        <f>IF(OR(D48&gt;=35,E48&gt;=35),"Pass","Fail")</f>
        <v>Fail</v>
      </c>
      <c r="I48" s="6">
        <v>22</v>
      </c>
      <c r="J48" s="6">
        <v>35</v>
      </c>
      <c r="K48" s="6">
        <v>39</v>
      </c>
      <c r="L48" s="6" t="b">
        <f>OR(I48&gt;35,J48&gt;=35,K48&gt;=35)</f>
        <v>1</v>
      </c>
      <c r="M48" s="6" t="str">
        <f>IF(OR(I48&gt;=35,J48&gt;=35,K48&gt;=35),"Pass","Fail")</f>
        <v>Pass</v>
      </c>
      <c r="N48" s="6"/>
      <c r="O48" s="28"/>
      <c r="P48" s="11"/>
      <c r="Q48" s="11"/>
      <c r="R48" s="11" t="str">
        <f>IF(O48&gt;=$N$47,"Pass","Fail")</f>
        <v>Fail</v>
      </c>
      <c r="S48" s="11" t="str">
        <f ca="1">_xlfn.FORMULATEXT(R48)</f>
        <v>=IF(O48&gt;=$N$47,"Pass","Fail")</v>
      </c>
    </row>
    <row r="49" spans="2:19" x14ac:dyDescent="0.3">
      <c r="D49" s="6">
        <v>61</v>
      </c>
      <c r="E49" s="6">
        <v>34</v>
      </c>
      <c r="F49" s="6" t="b">
        <f t="shared" ref="F49:F57" si="12">OR(D49&gt;=35,E49&gt;=35)</f>
        <v>1</v>
      </c>
      <c r="G49" s="6" t="str">
        <f t="shared" ref="G49:G57" si="13">IF(OR(D49&gt;=35,E49&gt;=35),"Pass","Fail")</f>
        <v>Pass</v>
      </c>
      <c r="I49" s="6">
        <v>61</v>
      </c>
      <c r="J49" s="6">
        <v>57</v>
      </c>
      <c r="K49" s="6">
        <v>22</v>
      </c>
      <c r="L49" s="6" t="b">
        <f t="shared" ref="L49:L57" si="14">OR(I49&gt;35,J49&gt;=35,K49&gt;=35)</f>
        <v>1</v>
      </c>
      <c r="M49" s="6" t="str">
        <f t="shared" ref="M49:M57" si="15">IF(OR(I49&gt;=35,J49&gt;=35,K49&gt;=35),"Pass","Fail")</f>
        <v>Pass</v>
      </c>
      <c r="N49" s="16"/>
      <c r="O49" s="28">
        <v>61</v>
      </c>
      <c r="P49" s="11" t="str">
        <f t="shared" ref="P49:P57" si="16">IF(O49&gt;=35,"Pass","Fail")</f>
        <v>Pass</v>
      </c>
      <c r="Q49" s="11" t="str">
        <f t="shared" ref="Q49:Q57" si="17">IF(O49&gt;=38,"Pass","Fail")</f>
        <v>Pass</v>
      </c>
      <c r="R49" s="11" t="str">
        <f t="shared" ref="R49:R57" si="18">IF(O49&gt;=$N$47,"Pass","Fail")</f>
        <v>Pass</v>
      </c>
      <c r="S49" s="11" t="str">
        <f t="shared" ref="S49:S57" ca="1" si="19">_xlfn.FORMULATEXT(R49)</f>
        <v>=IF(O49&gt;=$N$47,"Pass","Fail")</v>
      </c>
    </row>
    <row r="50" spans="2:19" x14ac:dyDescent="0.3">
      <c r="D50" s="6">
        <v>65</v>
      </c>
      <c r="E50" s="6">
        <v>34</v>
      </c>
      <c r="F50" s="6" t="b">
        <f t="shared" si="12"/>
        <v>1</v>
      </c>
      <c r="G50" s="6" t="str">
        <f t="shared" si="13"/>
        <v>Pass</v>
      </c>
      <c r="I50" s="6">
        <v>65</v>
      </c>
      <c r="J50" s="6">
        <v>34</v>
      </c>
      <c r="K50" s="6">
        <v>72</v>
      </c>
      <c r="L50" s="6" t="b">
        <f t="shared" si="14"/>
        <v>1</v>
      </c>
      <c r="M50" s="6" t="str">
        <f t="shared" si="15"/>
        <v>Pass</v>
      </c>
      <c r="O50" s="28">
        <v>65</v>
      </c>
      <c r="P50" s="11" t="str">
        <f t="shared" si="16"/>
        <v>Pass</v>
      </c>
      <c r="Q50" s="11" t="str">
        <f t="shared" si="17"/>
        <v>Pass</v>
      </c>
      <c r="R50" s="11" t="str">
        <f t="shared" si="18"/>
        <v>Pass</v>
      </c>
      <c r="S50" s="11" t="str">
        <f t="shared" ca="1" si="19"/>
        <v>=IF(O50&gt;=$N$47,"Pass","Fail")</v>
      </c>
    </row>
    <row r="51" spans="2:19" x14ac:dyDescent="0.3">
      <c r="D51" s="6">
        <v>31</v>
      </c>
      <c r="E51" s="6">
        <v>31</v>
      </c>
      <c r="F51" s="6" t="b">
        <f t="shared" si="12"/>
        <v>0</v>
      </c>
      <c r="G51" s="6" t="str">
        <f t="shared" si="13"/>
        <v>Fail</v>
      </c>
      <c r="I51" s="6">
        <v>31</v>
      </c>
      <c r="J51" s="6">
        <v>31</v>
      </c>
      <c r="K51" s="6">
        <v>31</v>
      </c>
      <c r="L51" s="6" t="b">
        <f t="shared" si="14"/>
        <v>0</v>
      </c>
      <c r="M51" s="6" t="str">
        <f t="shared" si="15"/>
        <v>Fail</v>
      </c>
      <c r="N51" s="16"/>
      <c r="O51" s="28">
        <v>31</v>
      </c>
      <c r="P51" s="11" t="str">
        <f t="shared" si="16"/>
        <v>Fail</v>
      </c>
      <c r="Q51" s="11" t="str">
        <f t="shared" si="17"/>
        <v>Fail</v>
      </c>
      <c r="R51" s="11" t="str">
        <f t="shared" si="18"/>
        <v>Fail</v>
      </c>
      <c r="S51" s="11" t="str">
        <f t="shared" ca="1" si="19"/>
        <v>=IF(O51&gt;=$N$47,"Pass","Fail")</v>
      </c>
    </row>
    <row r="52" spans="2:19" x14ac:dyDescent="0.3">
      <c r="D52" s="6">
        <v>80</v>
      </c>
      <c r="E52" s="6">
        <v>33</v>
      </c>
      <c r="F52" s="6" t="b">
        <f t="shared" si="12"/>
        <v>1</v>
      </c>
      <c r="G52" s="6" t="str">
        <f t="shared" si="13"/>
        <v>Pass</v>
      </c>
      <c r="I52" s="6">
        <v>80</v>
      </c>
      <c r="J52" s="6">
        <v>33</v>
      </c>
      <c r="K52" s="6">
        <v>20</v>
      </c>
      <c r="L52" s="6" t="b">
        <f t="shared" si="14"/>
        <v>1</v>
      </c>
      <c r="M52" s="6" t="str">
        <f t="shared" si="15"/>
        <v>Pass</v>
      </c>
      <c r="O52" s="28">
        <v>80</v>
      </c>
      <c r="P52" s="11" t="str">
        <f t="shared" si="16"/>
        <v>Pass</v>
      </c>
      <c r="Q52" s="11" t="str">
        <f t="shared" si="17"/>
        <v>Pass</v>
      </c>
      <c r="R52" s="11" t="str">
        <f t="shared" si="18"/>
        <v>Pass</v>
      </c>
      <c r="S52" s="11" t="str">
        <f t="shared" ca="1" si="19"/>
        <v>=IF(O52&gt;=$N$47,"Pass","Fail")</v>
      </c>
    </row>
    <row r="53" spans="2:19" x14ac:dyDescent="0.3">
      <c r="D53" s="6">
        <v>35</v>
      </c>
      <c r="E53" s="6">
        <v>86</v>
      </c>
      <c r="F53" s="6" t="b">
        <f t="shared" si="12"/>
        <v>1</v>
      </c>
      <c r="G53" s="6" t="str">
        <f t="shared" si="13"/>
        <v>Pass</v>
      </c>
      <c r="I53" s="6">
        <v>35</v>
      </c>
      <c r="J53" s="6">
        <v>86</v>
      </c>
      <c r="K53" s="6">
        <v>34</v>
      </c>
      <c r="L53" s="6" t="b">
        <f t="shared" si="14"/>
        <v>1</v>
      </c>
      <c r="M53" s="6" t="str">
        <f t="shared" si="15"/>
        <v>Pass</v>
      </c>
      <c r="O53" s="28">
        <v>35</v>
      </c>
      <c r="P53" s="11" t="str">
        <f t="shared" si="16"/>
        <v>Pass</v>
      </c>
      <c r="Q53" s="11" t="str">
        <f t="shared" si="17"/>
        <v>Fail</v>
      </c>
      <c r="R53" s="11" t="str">
        <f t="shared" si="18"/>
        <v>Pass</v>
      </c>
      <c r="S53" s="11" t="str">
        <f t="shared" ca="1" si="19"/>
        <v>=IF(O53&gt;=$N$47,"Pass","Fail")</v>
      </c>
    </row>
    <row r="54" spans="2:19" x14ac:dyDescent="0.3">
      <c r="D54" s="6">
        <v>32</v>
      </c>
      <c r="E54" s="6">
        <v>20</v>
      </c>
      <c r="F54" s="6" t="b">
        <f t="shared" si="12"/>
        <v>0</v>
      </c>
      <c r="G54" s="6" t="str">
        <f t="shared" si="13"/>
        <v>Fail</v>
      </c>
      <c r="I54" s="6">
        <v>53</v>
      </c>
      <c r="J54" s="6">
        <v>78</v>
      </c>
      <c r="K54" s="6">
        <v>56</v>
      </c>
      <c r="L54" s="6" t="b">
        <f t="shared" si="14"/>
        <v>1</v>
      </c>
      <c r="M54" s="6" t="str">
        <f t="shared" si="15"/>
        <v>Pass</v>
      </c>
      <c r="O54" s="28">
        <v>53</v>
      </c>
      <c r="P54" s="11" t="str">
        <f t="shared" si="16"/>
        <v>Pass</v>
      </c>
      <c r="Q54" s="11" t="str">
        <f t="shared" si="17"/>
        <v>Pass</v>
      </c>
      <c r="R54" s="11" t="str">
        <f t="shared" si="18"/>
        <v>Pass</v>
      </c>
      <c r="S54" s="11" t="str">
        <f t="shared" ca="1" si="19"/>
        <v>=IF(O54&gt;=$N$47,"Pass","Fail")</v>
      </c>
    </row>
    <row r="55" spans="2:19" x14ac:dyDescent="0.3">
      <c r="D55" s="6">
        <v>72</v>
      </c>
      <c r="E55" s="6">
        <v>64</v>
      </c>
      <c r="F55" s="6" t="b">
        <f t="shared" si="12"/>
        <v>1</v>
      </c>
      <c r="G55" s="6" t="str">
        <f t="shared" si="13"/>
        <v>Pass</v>
      </c>
      <c r="I55" s="6">
        <v>72</v>
      </c>
      <c r="J55" s="6">
        <v>64</v>
      </c>
      <c r="K55" s="6">
        <v>87</v>
      </c>
      <c r="L55" s="6" t="b">
        <f t="shared" si="14"/>
        <v>1</v>
      </c>
      <c r="M55" s="6" t="str">
        <f t="shared" si="15"/>
        <v>Pass</v>
      </c>
      <c r="O55" s="28">
        <v>72</v>
      </c>
      <c r="P55" s="11" t="str">
        <f t="shared" si="16"/>
        <v>Pass</v>
      </c>
      <c r="Q55" s="11" t="str">
        <f t="shared" si="17"/>
        <v>Pass</v>
      </c>
      <c r="R55" s="11" t="str">
        <f t="shared" si="18"/>
        <v>Pass</v>
      </c>
      <c r="S55" s="11" t="str">
        <f t="shared" ca="1" si="19"/>
        <v>=IF(O55&gt;=$N$47,"Pass","Fail")</v>
      </c>
    </row>
    <row r="56" spans="2:19" x14ac:dyDescent="0.3">
      <c r="D56" s="6">
        <v>34</v>
      </c>
      <c r="E56" s="6">
        <v>88</v>
      </c>
      <c r="F56" s="6" t="b">
        <f t="shared" si="12"/>
        <v>1</v>
      </c>
      <c r="G56" s="6" t="str">
        <f t="shared" si="13"/>
        <v>Pass</v>
      </c>
      <c r="I56" s="6">
        <v>34</v>
      </c>
      <c r="J56" s="6">
        <v>88</v>
      </c>
      <c r="K56" s="6">
        <v>44</v>
      </c>
      <c r="L56" s="6" t="b">
        <f t="shared" si="14"/>
        <v>1</v>
      </c>
      <c r="M56" s="6" t="str">
        <f t="shared" si="15"/>
        <v>Pass</v>
      </c>
      <c r="O56" s="28">
        <v>34</v>
      </c>
      <c r="P56" s="11" t="str">
        <f t="shared" si="16"/>
        <v>Fail</v>
      </c>
      <c r="Q56" s="11" t="str">
        <f t="shared" si="17"/>
        <v>Fail</v>
      </c>
      <c r="R56" s="11" t="str">
        <f t="shared" si="18"/>
        <v>Fail</v>
      </c>
      <c r="S56" s="11" t="str">
        <f t="shared" ca="1" si="19"/>
        <v>=IF(O56&gt;=$N$47,"Pass","Fail")</v>
      </c>
    </row>
    <row r="57" spans="2:19" x14ac:dyDescent="0.3">
      <c r="D57" s="6">
        <v>63</v>
      </c>
      <c r="E57" s="6">
        <v>20</v>
      </c>
      <c r="F57" s="6" t="b">
        <f t="shared" si="12"/>
        <v>1</v>
      </c>
      <c r="G57" s="6" t="str">
        <f t="shared" si="13"/>
        <v>Pass</v>
      </c>
      <c r="I57" s="6">
        <v>63</v>
      </c>
      <c r="J57" s="6">
        <v>20</v>
      </c>
      <c r="K57" s="6">
        <v>53</v>
      </c>
      <c r="L57" s="6" t="b">
        <f t="shared" si="14"/>
        <v>1</v>
      </c>
      <c r="M57" s="6" t="str">
        <f t="shared" si="15"/>
        <v>Pass</v>
      </c>
      <c r="O57" s="28">
        <v>63</v>
      </c>
      <c r="P57" s="11" t="str">
        <f t="shared" si="16"/>
        <v>Pass</v>
      </c>
      <c r="Q57" s="11" t="str">
        <f t="shared" si="17"/>
        <v>Pass</v>
      </c>
      <c r="R57" s="11" t="str">
        <f t="shared" si="18"/>
        <v>Pass</v>
      </c>
      <c r="S57" s="11" t="str">
        <f t="shared" ca="1" si="19"/>
        <v>=IF(O57&gt;=$N$47,"Pass","Fail")</v>
      </c>
    </row>
    <row r="59" spans="2:19" x14ac:dyDescent="0.3">
      <c r="B59" t="s">
        <v>69</v>
      </c>
      <c r="D59" s="5" t="s">
        <v>57</v>
      </c>
      <c r="E59" s="5" t="s">
        <v>70</v>
      </c>
      <c r="F59" s="5" t="s">
        <v>71</v>
      </c>
      <c r="G59" s="5" t="s">
        <v>72</v>
      </c>
      <c r="H59" s="5" t="s">
        <v>73</v>
      </c>
    </row>
    <row r="60" spans="2:19" x14ac:dyDescent="0.3">
      <c r="B60" s="17" t="s">
        <v>74</v>
      </c>
      <c r="C60" t="s">
        <v>38</v>
      </c>
      <c r="D60" s="6">
        <v>60</v>
      </c>
      <c r="E60" s="6" t="str">
        <f>IF(D60&gt;=90,"A+","A")</f>
        <v>A</v>
      </c>
      <c r="F60" s="6" t="str">
        <f>IF(D60&gt;=90,"A+",IF(D60&gt;=75,"A",IF(D60&gt;=60,"B",IF(D60&gt;=35,"C","F"))))</f>
        <v>B</v>
      </c>
      <c r="G60" s="8" t="str">
        <f>IF(D60&gt;=90,"A+",IF(D60&gt;75,"A",IF(D60&gt;=60,"B",IF(D60&gt;=35,"C","F"))))</f>
        <v>B</v>
      </c>
      <c r="H60" s="6" t="str" cm="1">
        <f t="array" ref="H60">_xlfn.SWITCH(G60,
"A+","Outstanding",
"A","Excellent",
"B","Good",
"C","Average",
"F","Needs improvement")</f>
        <v>Good</v>
      </c>
      <c r="Q60" s="18"/>
    </row>
    <row r="61" spans="2:19" x14ac:dyDescent="0.3">
      <c r="B61" s="17" t="s">
        <v>75</v>
      </c>
      <c r="D61" s="6">
        <v>55</v>
      </c>
      <c r="E61" s="6" t="str">
        <f t="shared" ref="E61:E71" si="20">IF(D61&gt;=90,"A+","A")</f>
        <v>A</v>
      </c>
      <c r="F61" s="6" t="str">
        <f t="shared" ref="F61:F71" si="21">IF(D61&gt;=90,"A+",IF(D61&gt;=75,"A",IF(D61&gt;=60,"B",IF(D61&gt;=35,"C","F"))))</f>
        <v>C</v>
      </c>
      <c r="G61" s="8" t="str">
        <f t="shared" ref="G61:G71" si="22">IF(D61&gt;=90,"A+",IF(D61&gt;75,"A",IF(D61&gt;=60,"B",IF(D61&gt;=35,"C","F"))))</f>
        <v>C</v>
      </c>
      <c r="H61" s="6" t="str" cm="1">
        <f t="array" ref="H61">_xlfn.SWITCH(G61,
"A+","Outstanding",
"A","Excellent",
"B","Good",
"C","Average",
"F","Needs improvement")</f>
        <v>Average</v>
      </c>
      <c r="Q61" s="18"/>
    </row>
    <row r="62" spans="2:19" x14ac:dyDescent="0.3">
      <c r="B62" s="17" t="s">
        <v>76</v>
      </c>
      <c r="D62" s="6">
        <v>94</v>
      </c>
      <c r="E62" s="6" t="str">
        <f t="shared" si="20"/>
        <v>A+</v>
      </c>
      <c r="F62" s="6" t="str">
        <f t="shared" si="21"/>
        <v>A+</v>
      </c>
      <c r="G62" s="8" t="str">
        <f t="shared" si="22"/>
        <v>A+</v>
      </c>
      <c r="H62" s="6" t="str" cm="1">
        <f t="array" ref="H62">_xlfn.SWITCH(G62,
"A+","Outstanding",
"A","Excellent",
"B","Good",
"C","Average",
"F","Needs improvement")</f>
        <v>Outstanding</v>
      </c>
      <c r="Q62" s="18"/>
    </row>
    <row r="63" spans="2:19" x14ac:dyDescent="0.3">
      <c r="B63" s="17" t="s">
        <v>77</v>
      </c>
      <c r="D63" s="6">
        <v>23</v>
      </c>
      <c r="E63" s="6" t="str">
        <f t="shared" si="20"/>
        <v>A</v>
      </c>
      <c r="F63" s="6" t="str">
        <f t="shared" si="21"/>
        <v>F</v>
      </c>
      <c r="G63" s="8" t="str">
        <f t="shared" si="22"/>
        <v>F</v>
      </c>
      <c r="H63" s="6" t="str" cm="1">
        <f t="array" ref="H63">_xlfn.SWITCH(G63,
"A+","Outstanding",
"A","Excellent",
"B","Good",
"C","Average",
"F","Needs improvement")</f>
        <v>Needs improvement</v>
      </c>
      <c r="Q63" s="18"/>
    </row>
    <row r="64" spans="2:19" x14ac:dyDescent="0.3">
      <c r="B64" s="17" t="s">
        <v>78</v>
      </c>
      <c r="D64" s="6">
        <v>28</v>
      </c>
      <c r="E64" s="6" t="str">
        <f t="shared" si="20"/>
        <v>A</v>
      </c>
      <c r="F64" s="6" t="str">
        <f t="shared" si="21"/>
        <v>F</v>
      </c>
      <c r="G64" s="8" t="str">
        <f t="shared" si="22"/>
        <v>F</v>
      </c>
      <c r="H64" s="6" t="str" cm="1">
        <f t="array" ref="H64">_xlfn.SWITCH(G64,
"A+","Outstanding",
"A","Excellent",
"B","Good",
"C","Average",
"F","Needs improvement")</f>
        <v>Needs improvement</v>
      </c>
      <c r="Q64" s="18"/>
    </row>
    <row r="65" spans="1:17" x14ac:dyDescent="0.3">
      <c r="D65" s="6">
        <v>91</v>
      </c>
      <c r="E65" s="6" t="str">
        <f t="shared" si="20"/>
        <v>A+</v>
      </c>
      <c r="F65" s="6" t="str">
        <f t="shared" si="21"/>
        <v>A+</v>
      </c>
      <c r="G65" s="8" t="str">
        <f t="shared" si="22"/>
        <v>A+</v>
      </c>
      <c r="H65" s="6" t="str" cm="1">
        <f t="array" ref="H65">_xlfn.SWITCH(G65,
"A+","Outstanding",
"A","Excellent",
"B","Good",
"C","Average",
"F","Needs improvement")</f>
        <v>Outstanding</v>
      </c>
      <c r="Q65" s="18"/>
    </row>
    <row r="66" spans="1:17" x14ac:dyDescent="0.3">
      <c r="B66" t="s">
        <v>73</v>
      </c>
      <c r="D66" s="6">
        <v>27</v>
      </c>
      <c r="E66" s="6" t="str">
        <f t="shared" si="20"/>
        <v>A</v>
      </c>
      <c r="F66" s="6" t="str">
        <f t="shared" si="21"/>
        <v>F</v>
      </c>
      <c r="G66" s="8" t="str">
        <f t="shared" si="22"/>
        <v>F</v>
      </c>
      <c r="H66" s="6" t="str" cm="1">
        <f t="array" ref="H66">_xlfn.SWITCH(G66,
"A+","Outstanding",
"A","Excellent",
"B","Good",
"C","Average",
"F","Needs improvement")</f>
        <v>Needs improvement</v>
      </c>
      <c r="Q66" s="18"/>
    </row>
    <row r="67" spans="1:17" x14ac:dyDescent="0.3">
      <c r="B67" s="19" t="s">
        <v>79</v>
      </c>
      <c r="D67" s="6">
        <v>68</v>
      </c>
      <c r="E67" s="6" t="str">
        <f t="shared" si="20"/>
        <v>A</v>
      </c>
      <c r="F67" s="6" t="str">
        <f t="shared" si="21"/>
        <v>B</v>
      </c>
      <c r="G67" s="8" t="str">
        <f t="shared" si="22"/>
        <v>B</v>
      </c>
      <c r="H67" s="6" t="str" cm="1">
        <f t="array" ref="H67">_xlfn.SWITCH(G67,
"A+","Outstanding",
"A","Excellent",
"B","Good",
"C","Average",
"F","Needs improvement")</f>
        <v>Good</v>
      </c>
      <c r="Q67" s="18"/>
    </row>
    <row r="68" spans="1:17" x14ac:dyDescent="0.3">
      <c r="B68" s="19" t="s">
        <v>80</v>
      </c>
      <c r="D68" s="6">
        <v>52</v>
      </c>
      <c r="E68" s="6" t="str">
        <f t="shared" si="20"/>
        <v>A</v>
      </c>
      <c r="F68" s="6" t="str">
        <f t="shared" si="21"/>
        <v>C</v>
      </c>
      <c r="G68" s="8" t="str">
        <f t="shared" si="22"/>
        <v>C</v>
      </c>
      <c r="H68" s="6" t="str" cm="1">
        <f t="array" ref="H68">_xlfn.SWITCH(G68,
"A+","Outstanding",
"A","Excellent",
"B","Good",
"C","Average",
"F","Needs improvement")</f>
        <v>Average</v>
      </c>
      <c r="Q68" s="18"/>
    </row>
    <row r="69" spans="1:17" x14ac:dyDescent="0.3">
      <c r="B69" s="19" t="s">
        <v>81</v>
      </c>
      <c r="D69" s="6">
        <v>75</v>
      </c>
      <c r="E69" s="6" t="str">
        <f t="shared" si="20"/>
        <v>A</v>
      </c>
      <c r="F69" s="6" t="str">
        <f t="shared" si="21"/>
        <v>A</v>
      </c>
      <c r="G69" s="8" t="str">
        <f t="shared" si="22"/>
        <v>B</v>
      </c>
      <c r="H69" s="6" t="str" cm="1">
        <f t="array" ref="H69">_xlfn.SWITCH(G69,
"A+","Outstanding",
"A","Excellent",
"B","Good",
"C","Average",
"F","Needs improvement")</f>
        <v>Good</v>
      </c>
      <c r="Q69" s="18"/>
    </row>
    <row r="70" spans="1:17" x14ac:dyDescent="0.3">
      <c r="B70" s="19" t="s">
        <v>82</v>
      </c>
      <c r="D70" s="6">
        <v>71</v>
      </c>
      <c r="E70" s="6" t="str">
        <f t="shared" si="20"/>
        <v>A</v>
      </c>
      <c r="F70" s="6" t="str">
        <f t="shared" si="21"/>
        <v>B</v>
      </c>
      <c r="G70" s="8" t="str">
        <f t="shared" si="22"/>
        <v>B</v>
      </c>
      <c r="H70" s="6" t="str" cm="1">
        <f t="array" ref="H70">_xlfn.SWITCH(G70,
"A+","Outstanding",
"A","Excellent",
"B","Good",
"C","Average",
"F","Needs improvement")</f>
        <v>Good</v>
      </c>
      <c r="Q70" s="18"/>
    </row>
    <row r="71" spans="1:17" x14ac:dyDescent="0.3">
      <c r="B71" s="19" t="s">
        <v>83</v>
      </c>
      <c r="D71" s="6">
        <v>95</v>
      </c>
      <c r="E71" s="6" t="str">
        <f t="shared" si="20"/>
        <v>A+</v>
      </c>
      <c r="F71" s="6" t="str">
        <f t="shared" si="21"/>
        <v>A+</v>
      </c>
      <c r="G71" s="8" t="str">
        <f t="shared" si="22"/>
        <v>A+</v>
      </c>
      <c r="H71" s="6" t="str" cm="1">
        <f t="array" ref="H71">_xlfn.SWITCH(G71,
"A+","Outstanding",
"A","Excellent",
"B","Good",
"C","Average",
"F","Needs improvement")</f>
        <v>Outstanding</v>
      </c>
      <c r="Q71" s="18"/>
    </row>
    <row r="74" spans="1:17" x14ac:dyDescent="0.3">
      <c r="B74" t="s">
        <v>84</v>
      </c>
      <c r="C74" t="s">
        <v>85</v>
      </c>
      <c r="D74" s="20" t="s">
        <v>86</v>
      </c>
      <c r="E74" s="20" t="s">
        <v>87</v>
      </c>
      <c r="F74" s="20" t="s">
        <v>88</v>
      </c>
      <c r="G74" s="20" t="s">
        <v>89</v>
      </c>
      <c r="H74" s="21" t="s">
        <v>90</v>
      </c>
      <c r="I74" s="21" t="s">
        <v>91</v>
      </c>
      <c r="J74" s="21" t="s">
        <v>92</v>
      </c>
      <c r="K74" s="22" t="s">
        <v>92</v>
      </c>
      <c r="L74" s="21" t="s">
        <v>93</v>
      </c>
    </row>
    <row r="75" spans="1:17" x14ac:dyDescent="0.3">
      <c r="B75" t="s">
        <v>94</v>
      </c>
      <c r="C75" s="23">
        <v>35</v>
      </c>
      <c r="D75" s="24" t="s">
        <v>95</v>
      </c>
      <c r="E75" s="24"/>
      <c r="F75" s="24"/>
      <c r="G75" s="24"/>
      <c r="H75" s="24"/>
      <c r="I75" s="25"/>
      <c r="J75" s="24"/>
      <c r="K75" s="11"/>
      <c r="L75" s="24"/>
    </row>
    <row r="76" spans="1:17" x14ac:dyDescent="0.3">
      <c r="A76" t="s">
        <v>92</v>
      </c>
      <c r="B76" t="s">
        <v>96</v>
      </c>
      <c r="D76" s="24" t="s">
        <v>97</v>
      </c>
      <c r="E76" s="24"/>
      <c r="F76" s="24"/>
      <c r="G76" s="24"/>
      <c r="H76" s="24"/>
      <c r="I76" s="25"/>
      <c r="J76" s="24"/>
      <c r="K76" s="11"/>
      <c r="L76" s="24"/>
    </row>
    <row r="77" spans="1:17" x14ac:dyDescent="0.3">
      <c r="B77" t="s">
        <v>73</v>
      </c>
      <c r="D77" s="24" t="s">
        <v>98</v>
      </c>
      <c r="E77" s="24"/>
      <c r="F77" s="24"/>
      <c r="G77" s="24"/>
      <c r="H77" s="24"/>
      <c r="I77" s="25"/>
      <c r="J77" s="24"/>
      <c r="K77" s="11"/>
      <c r="L77" s="24"/>
    </row>
    <row r="78" spans="1:17" x14ac:dyDescent="0.3">
      <c r="B78" s="26" t="s">
        <v>99</v>
      </c>
      <c r="D78" s="24" t="s">
        <v>100</v>
      </c>
      <c r="E78" s="24"/>
      <c r="F78" s="24"/>
      <c r="G78" s="24"/>
      <c r="H78" s="24"/>
      <c r="I78" s="25"/>
      <c r="J78" s="24"/>
      <c r="K78" s="11"/>
      <c r="L78" s="24"/>
    </row>
    <row r="79" spans="1:17" x14ac:dyDescent="0.3">
      <c r="B79" s="26" t="s">
        <v>101</v>
      </c>
      <c r="D79" s="24" t="s">
        <v>102</v>
      </c>
      <c r="E79" s="24"/>
      <c r="F79" s="24"/>
      <c r="G79" s="24"/>
      <c r="H79" s="24"/>
      <c r="I79" s="25"/>
      <c r="J79" s="24"/>
      <c r="K79" s="11"/>
      <c r="L79" s="24"/>
    </row>
    <row r="80" spans="1:17" x14ac:dyDescent="0.3">
      <c r="B80" s="26" t="s">
        <v>103</v>
      </c>
      <c r="H80" s="24"/>
      <c r="I80" s="25"/>
      <c r="J80" s="24"/>
    </row>
    <row r="81" spans="2:10" x14ac:dyDescent="0.3">
      <c r="F81" t="s">
        <v>90</v>
      </c>
      <c r="G81" t="s">
        <v>40</v>
      </c>
      <c r="H81" s="24"/>
      <c r="I81" s="25"/>
      <c r="J81" s="24"/>
    </row>
    <row r="82" spans="2:10" x14ac:dyDescent="0.3">
      <c r="B82" t="s">
        <v>104</v>
      </c>
      <c r="F82" t="s">
        <v>91</v>
      </c>
      <c r="G82" t="s">
        <v>105</v>
      </c>
      <c r="H82" s="24"/>
      <c r="I82" s="25"/>
      <c r="J82" s="24"/>
    </row>
    <row r="84" spans="2:10" x14ac:dyDescent="0.3">
      <c r="H84" t="s">
        <v>106</v>
      </c>
    </row>
    <row r="85" spans="2:10" x14ac:dyDescent="0.3">
      <c r="H85" t="s">
        <v>107</v>
      </c>
    </row>
    <row r="87" spans="2:10" x14ac:dyDescent="0.3">
      <c r="D87" t="s">
        <v>108</v>
      </c>
      <c r="G87">
        <v>35</v>
      </c>
    </row>
    <row r="88" spans="2:10" x14ac:dyDescent="0.3">
      <c r="D88" s="5" t="s">
        <v>55</v>
      </c>
      <c r="E88" s="27" t="s">
        <v>56</v>
      </c>
      <c r="F88" s="27" t="s">
        <v>109</v>
      </c>
      <c r="G88" s="11">
        <v>35</v>
      </c>
    </row>
    <row r="89" spans="2:10" x14ac:dyDescent="0.3">
      <c r="D89" s="6">
        <v>23</v>
      </c>
      <c r="E89" s="28">
        <v>23</v>
      </c>
      <c r="F89" s="29"/>
      <c r="G89" s="11"/>
    </row>
    <row r="90" spans="2:10" x14ac:dyDescent="0.3">
      <c r="D90" s="6">
        <v>61</v>
      </c>
      <c r="E90" s="28">
        <v>34</v>
      </c>
      <c r="F90" s="29"/>
      <c r="G90" s="11"/>
    </row>
    <row r="91" spans="2:10" x14ac:dyDescent="0.3">
      <c r="D91" s="6">
        <v>65</v>
      </c>
      <c r="E91" s="28">
        <v>34</v>
      </c>
      <c r="F91" s="29"/>
      <c r="G91" s="11"/>
    </row>
    <row r="92" spans="2:10" x14ac:dyDescent="0.3">
      <c r="D92" s="6">
        <v>31</v>
      </c>
      <c r="E92" s="28">
        <v>31</v>
      </c>
      <c r="F92" s="29"/>
      <c r="G92" s="11"/>
    </row>
    <row r="93" spans="2:10" x14ac:dyDescent="0.3">
      <c r="D93" s="6">
        <v>80</v>
      </c>
      <c r="E93" s="28">
        <v>33</v>
      </c>
      <c r="F93" s="29"/>
      <c r="G93" s="11"/>
    </row>
    <row r="94" spans="2:10" x14ac:dyDescent="0.3">
      <c r="D94" s="6">
        <v>35</v>
      </c>
      <c r="E94" s="28">
        <v>86</v>
      </c>
      <c r="F94" s="29"/>
      <c r="G94" s="11"/>
    </row>
    <row r="95" spans="2:10" x14ac:dyDescent="0.3">
      <c r="D95" s="6">
        <v>32</v>
      </c>
      <c r="E95" s="28">
        <v>20</v>
      </c>
      <c r="F95" s="29"/>
      <c r="G95" s="11"/>
    </row>
    <row r="96" spans="2:10" x14ac:dyDescent="0.3">
      <c r="D96" s="6">
        <v>72</v>
      </c>
      <c r="E96" s="28">
        <v>64</v>
      </c>
      <c r="F96" s="29"/>
      <c r="G96" s="11"/>
    </row>
    <row r="97" spans="4:7" x14ac:dyDescent="0.3">
      <c r="D97" s="6">
        <v>34</v>
      </c>
      <c r="E97" s="28">
        <v>88</v>
      </c>
      <c r="F97" s="29"/>
      <c r="G97" s="11"/>
    </row>
    <row r="98" spans="4:7" x14ac:dyDescent="0.3">
      <c r="D98" s="6">
        <v>63</v>
      </c>
      <c r="E98" s="28">
        <v>20</v>
      </c>
      <c r="F98" s="29"/>
      <c r="G98" s="11"/>
    </row>
  </sheetData>
  <mergeCells count="1">
    <mergeCell ref="B2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Emp Dataset</vt:lpstr>
      <vt:lpstr>Logical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prasannavakada2005@outlook.com</cp:lastModifiedBy>
  <dcterms:created xsi:type="dcterms:W3CDTF">2026-04-16T04:06:24Z</dcterms:created>
  <dcterms:modified xsi:type="dcterms:W3CDTF">2026-04-16T12:33:46Z</dcterms:modified>
</cp:coreProperties>
</file>