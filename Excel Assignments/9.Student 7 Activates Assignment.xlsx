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32d2c3c02be801/Desktop/DATA ANALYTICS/"/>
    </mc:Choice>
  </mc:AlternateContent>
  <xr:revisionPtr revIDLastSave="1" documentId="8_{5009E78D-1E0F-4CE7-8D99-A3169C4B7BD7}" xr6:coauthVersionLast="47" xr6:coauthVersionMax="47" xr10:uidLastSave="{5D61CFE3-756E-4519-AF03-E08E848B041A}"/>
  <bookViews>
    <workbookView xWindow="-108" yWindow="-108" windowWidth="23256" windowHeight="12456" activeTab="1" xr2:uid="{A33B52C9-F59C-493B-BA76-0AD8C45CAB05}"/>
  </bookViews>
  <sheets>
    <sheet name="Dataset" sheetId="2" r:id="rId1"/>
    <sheet name="Instru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2" l="1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3" i="2"/>
  <c r="I17" i="2"/>
  <c r="I18" i="2"/>
  <c r="I19" i="2"/>
  <c r="I20" i="2"/>
  <c r="I21" i="2"/>
  <c r="I22" i="2"/>
  <c r="I5" i="2"/>
  <c r="I6" i="2"/>
  <c r="I7" i="2"/>
  <c r="I8" i="2"/>
  <c r="I9" i="2"/>
  <c r="I10" i="2"/>
  <c r="I11" i="2"/>
  <c r="I12" i="2"/>
  <c r="I13" i="2"/>
  <c r="I14" i="2"/>
  <c r="I15" i="2"/>
  <c r="I16" i="2"/>
  <c r="I4" i="2"/>
  <c r="I3" i="2"/>
</calcChain>
</file>

<file path=xl/sharedStrings.xml><?xml version="1.0" encoding="utf-8"?>
<sst xmlns="http://schemas.openxmlformats.org/spreadsheetml/2006/main" count="191" uniqueCount="173">
  <si>
    <t>First Name</t>
  </si>
  <si>
    <t>Last Name</t>
  </si>
  <si>
    <t>Salary</t>
  </si>
  <si>
    <t>Bonus</t>
  </si>
  <si>
    <t>Month</t>
  </si>
  <si>
    <t>Ravi</t>
  </si>
  <si>
    <t>Kumar</t>
  </si>
  <si>
    <t>Jan</t>
  </si>
  <si>
    <t>Sneha</t>
  </si>
  <si>
    <t>Rani</t>
  </si>
  <si>
    <t>Feb</t>
  </si>
  <si>
    <t>Ankit</t>
  </si>
  <si>
    <t>Verma</t>
  </si>
  <si>
    <t>Mar</t>
  </si>
  <si>
    <t>Priya</t>
  </si>
  <si>
    <t>Meena</t>
  </si>
  <si>
    <t>Apr</t>
  </si>
  <si>
    <t>Deepak</t>
  </si>
  <si>
    <t>Yadav</t>
  </si>
  <si>
    <t>May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</si>
  <si>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Full Name</t>
    </r>
  </si>
  <si>
    <r>
      <t xml:space="preserve">Combine First Name and Last Name manually for first row → </t>
    </r>
    <r>
      <rPr>
        <sz val="10"/>
        <color theme="1"/>
        <rFont val="Arial Unicode MS"/>
      </rPr>
      <t>Ravi Kumar</t>
    </r>
  </si>
  <si>
    <r>
      <t xml:space="preserve">Use </t>
    </r>
    <r>
      <rPr>
        <b/>
        <sz val="11"/>
        <color theme="1"/>
        <rFont val="Calibri"/>
        <family val="2"/>
        <scheme val="minor"/>
      </rPr>
      <t>Flash Fill (Ctrl + E)</t>
    </r>
    <r>
      <rPr>
        <sz val="11"/>
        <color theme="1"/>
        <rFont val="Calibri"/>
        <family val="2"/>
        <scheme val="minor"/>
      </rPr>
      <t xml:space="preserve"> to fill remaining rows</t>
    </r>
  </si>
  <si>
    <r>
      <t xml:space="preserve">Create a column </t>
    </r>
    <r>
      <rPr>
        <b/>
        <sz val="11"/>
        <color theme="1"/>
        <rFont val="Calibri"/>
        <family val="2"/>
        <scheme val="minor"/>
      </rPr>
      <t>Email</t>
    </r>
  </si>
  <si>
    <t>Format: firstname.lastname@gmail.com (Example: ravi.kumar@gmail.com)</t>
  </si>
  <si>
    <t>Use Flash Fill to complete all rows</t>
  </si>
  <si>
    <t>Task1:</t>
  </si>
  <si>
    <t>Task2:</t>
  </si>
  <si>
    <t>Task3:</t>
  </si>
  <si>
    <r>
      <t xml:space="preserve">Create a column </t>
    </r>
    <r>
      <rPr>
        <b/>
        <sz val="11"/>
        <color theme="1"/>
        <rFont val="Calibri"/>
        <family val="2"/>
        <scheme val="minor"/>
      </rPr>
      <t>Employee ID</t>
    </r>
  </si>
  <si>
    <r>
      <t xml:space="preserve">Start with </t>
    </r>
    <r>
      <rPr>
        <sz val="10"/>
        <color theme="1"/>
        <rFont val="Arial Unicode MS"/>
      </rPr>
      <t>EMP001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</si>
  <si>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Series</t>
    </r>
    <r>
      <rPr>
        <sz val="11"/>
        <color theme="1"/>
        <rFont val="Calibri"/>
        <family val="2"/>
        <scheme val="minor"/>
      </rPr>
      <t xml:space="preserve"> to generate next values:</t>
    </r>
  </si>
  <si>
    <t>Task4:</t>
  </si>
  <si>
    <r>
      <t xml:space="preserve">Extend the Month column till </t>
    </r>
    <r>
      <rPr>
        <b/>
        <sz val="11"/>
        <color theme="1"/>
        <rFont val="Calibri"/>
        <family val="2"/>
        <scheme val="minor"/>
      </rPr>
      <t>December</t>
    </r>
  </si>
  <si>
    <r>
      <t xml:space="preserve">Use </t>
    </r>
    <r>
      <rPr>
        <b/>
        <sz val="11"/>
        <color theme="1"/>
        <rFont val="Calibri"/>
        <family val="2"/>
        <scheme val="minor"/>
      </rPr>
      <t>Fill Handle (drag)</t>
    </r>
    <r>
      <rPr>
        <sz val="11"/>
        <color theme="1"/>
        <rFont val="Calibri"/>
        <family val="2"/>
        <scheme val="minor"/>
      </rPr>
      <t xml:space="preserve"> to auto-fill months</t>
    </r>
  </si>
  <si>
    <t>Task5:</t>
  </si>
  <si>
    <t>Create the following columns:</t>
  </si>
  <si>
    <t>Total Salary</t>
  </si>
  <si>
    <t>Salary+ Bonus</t>
  </si>
  <si>
    <t>Annual Salary</t>
  </si>
  <si>
    <t>Total_salary*12</t>
  </si>
  <si>
    <t>Tax(10%)</t>
  </si>
  <si>
    <t>Total_salary*10%</t>
  </si>
  <si>
    <t>Final Salary after Tax</t>
  </si>
  <si>
    <t>Total_salary-Tax</t>
  </si>
  <si>
    <t>Task6:</t>
  </si>
  <si>
    <t>Increase bonus by 500 for all employees</t>
  </si>
  <si>
    <t>Create New Column as Updated Bonus</t>
  </si>
  <si>
    <t>Bonus+500</t>
  </si>
  <si>
    <t>Create a New Columns as Performance Score</t>
  </si>
  <si>
    <t>Salary/1000</t>
  </si>
  <si>
    <t>Create a new column as USER ID</t>
  </si>
  <si>
    <t>Create user id as (First 2 letters of First Name + Last 2 letters of Last Name): Ex: Ravi Kumar -- Raar</t>
  </si>
  <si>
    <t>Task7:</t>
  </si>
  <si>
    <t>Instructions</t>
  </si>
  <si>
    <t>Pooja</t>
  </si>
  <si>
    <t>Sharma</t>
  </si>
  <si>
    <t>Jun</t>
  </si>
  <si>
    <t>Kiran</t>
  </si>
  <si>
    <t>Reddy</t>
  </si>
  <si>
    <t>Jul</t>
  </si>
  <si>
    <t>Neha</t>
  </si>
  <si>
    <t>Singh</t>
  </si>
  <si>
    <t>Aug</t>
  </si>
  <si>
    <t>Rahul</t>
  </si>
  <si>
    <t>Das</t>
  </si>
  <si>
    <t>Sep</t>
  </si>
  <si>
    <t>Suresh</t>
  </si>
  <si>
    <t>Naidu</t>
  </si>
  <si>
    <t>Oct</t>
  </si>
  <si>
    <t>Kavya</t>
  </si>
  <si>
    <t>Iyer</t>
  </si>
  <si>
    <t>Nov</t>
  </si>
  <si>
    <t>Arjun</t>
  </si>
  <si>
    <t>Patel</t>
  </si>
  <si>
    <t>Dec</t>
  </si>
  <si>
    <t>Divya</t>
  </si>
  <si>
    <t>Nair</t>
  </si>
  <si>
    <t>Manoj</t>
  </si>
  <si>
    <t>Gupta</t>
  </si>
  <si>
    <t>Rekha</t>
  </si>
  <si>
    <t>Jain</t>
  </si>
  <si>
    <t>Vikas</t>
  </si>
  <si>
    <t>Shetty</t>
  </si>
  <si>
    <t>Pillai</t>
  </si>
  <si>
    <t>Ajay</t>
  </si>
  <si>
    <t>Kulkarni</t>
  </si>
  <si>
    <t>Swathi</t>
  </si>
  <si>
    <t>Rao</t>
  </si>
  <si>
    <t>Nikhil</t>
  </si>
  <si>
    <t>Choudhary</t>
  </si>
  <si>
    <t>fulla name</t>
  </si>
  <si>
    <t>Email id</t>
  </si>
  <si>
    <t>Ravi.Kumar@gmail.com</t>
  </si>
  <si>
    <t>Suresh.Naidu@gmail.com</t>
  </si>
  <si>
    <t>Kavya.Iyer@gmail.com</t>
  </si>
  <si>
    <t>Arjun.Patel@gmail.com</t>
  </si>
  <si>
    <t>Divya.Nair@gmail.com</t>
  </si>
  <si>
    <t>Manoj.Gupta@gmail.com</t>
  </si>
  <si>
    <t>Rekha.Jain@gmail.com</t>
  </si>
  <si>
    <t>Vikas.Shetty@gmail.com</t>
  </si>
  <si>
    <t>Meena.Pillai@gmail.com</t>
  </si>
  <si>
    <t>Ajay.Kulkarni@gmail.com</t>
  </si>
  <si>
    <t>Swathi.Rao@gmail.com</t>
  </si>
  <si>
    <t>Nikhil.Choudhary@gmail.com</t>
  </si>
  <si>
    <t>Sneha.Rani@gmail.com</t>
  </si>
  <si>
    <t>Ankit.Verma@gmail.com</t>
  </si>
  <si>
    <t>Priya.Meena@gmail.com</t>
  </si>
  <si>
    <t>Deepak.Yadav@gmail.com</t>
  </si>
  <si>
    <t>Pooja.Sharma@gmail.com</t>
  </si>
  <si>
    <t>Kiran.Reddy@gmail.com</t>
  </si>
  <si>
    <t>Neha.Singh@gmail.com</t>
  </si>
  <si>
    <t>Rahul.Das@gmail.com</t>
  </si>
  <si>
    <t>EMP id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</si>
  <si>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</si>
  <si>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</si>
  <si>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</si>
  <si>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</si>
  <si>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</si>
  <si>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</si>
  <si>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</si>
  <si>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</si>
  <si>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</si>
  <si>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</si>
  <si>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</si>
  <si>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</si>
  <si>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</si>
  <si>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</si>
  <si>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</si>
  <si>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</si>
  <si>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</si>
  <si>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</si>
  <si>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</si>
  <si>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</si>
  <si>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USER id</t>
  </si>
  <si>
    <t>Raar</t>
  </si>
  <si>
    <t>Snni</t>
  </si>
  <si>
    <t>Anrma</t>
  </si>
  <si>
    <t>Prena</t>
  </si>
  <si>
    <t>Deadav</t>
  </si>
  <si>
    <t>Poarma</t>
  </si>
  <si>
    <t>Kiddy</t>
  </si>
  <si>
    <t>Negh</t>
  </si>
  <si>
    <t>Ras</t>
  </si>
  <si>
    <t>Suaidu</t>
  </si>
  <si>
    <t>Kaer</t>
  </si>
  <si>
    <t>Artel</t>
  </si>
  <si>
    <t>Diir</t>
  </si>
  <si>
    <t>Mapta</t>
  </si>
  <si>
    <t>Rein</t>
  </si>
  <si>
    <t>Vietty</t>
  </si>
  <si>
    <t>Mellai</t>
  </si>
  <si>
    <t>Ajkarni</t>
  </si>
  <si>
    <t>Swao</t>
  </si>
  <si>
    <t>Nihoudhary</t>
  </si>
  <si>
    <t>MONTH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</si>
  <si>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</si>
  <si>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</si>
  <si>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</si>
  <si>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</si>
  <si>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</si>
  <si>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</si>
  <si>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</si>
  <si>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</si>
  <si>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</si>
  <si>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</si>
  <si>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</si>
  <si>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TOTAL SLARY</t>
  </si>
  <si>
    <t>ANNUAL SALARY</t>
  </si>
  <si>
    <t>TAX (10%)</t>
  </si>
  <si>
    <t>FINAL SALARY AFTER TAX</t>
  </si>
  <si>
    <t>UPDATE BONUS</t>
  </si>
  <si>
    <t>PERFORMANCE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</si>
</sst>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0" fillId="0" borderId="8" xfId="0" applyBorder="1"/>
    <xf numFmtId="0" fontId="0" fillId="0" borderId="9" xfId="0" applyBorder="1"/>
    <xf numFmtId="0" fontId="1" fillId="2" borderId="0" xfId="0" applyFont="1" applyFill="1"/>
    <xf numFmtId="0" fontId="4" fillId="0" borderId="0" xfId="1"/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12701</xdr:colOff>
      <xdr:row>3</xdr:row>
      <xdr:rowOff>0</xdr:rowOff>
    </xdr:from>
    <xdr:to>
      <xdr:col>3</xdr:col>
      <xdr:colOff>1809751</xdr:colOff>
      <xdr:row>6</xdr:row>
      <xdr:rowOff>145361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CF5A9-438D-FC4B-A3C4-05307BE25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31601" y="552450"/>
          <a:ext cx="1797050" cy="697811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eha.Singh@gmail.com" TargetMode="External"/><Relationship Id="rId13" Type="http://schemas.openxmlformats.org/officeDocument/2006/relationships/hyperlink" Target="mailto:Divya.Nair@gmail.com" TargetMode="External"/><Relationship Id="rId18" Type="http://schemas.openxmlformats.org/officeDocument/2006/relationships/hyperlink" Target="mailto:Ajay.Kulkarni@gmail.com" TargetMode="External"/><Relationship Id="rId3" Type="http://schemas.openxmlformats.org/officeDocument/2006/relationships/hyperlink" Target="mailto:Ankit.Verma@gmail.com" TargetMode="External"/><Relationship Id="rId7" Type="http://schemas.openxmlformats.org/officeDocument/2006/relationships/hyperlink" Target="mailto:Kiran.Reddy@gmail.com" TargetMode="External"/><Relationship Id="rId12" Type="http://schemas.openxmlformats.org/officeDocument/2006/relationships/hyperlink" Target="mailto:Arjun.Patel@gmail.com" TargetMode="External"/><Relationship Id="rId17" Type="http://schemas.openxmlformats.org/officeDocument/2006/relationships/hyperlink" Target="mailto:Meena.Pillai@gmail.com" TargetMode="External"/><Relationship Id="rId2" Type="http://schemas.openxmlformats.org/officeDocument/2006/relationships/hyperlink" Target="mailto:Sneha.Rani@gmail.com" TargetMode="External"/><Relationship Id="rId16" Type="http://schemas.openxmlformats.org/officeDocument/2006/relationships/hyperlink" Target="mailto:Vikas.Shetty@gmail.com" TargetMode="External"/><Relationship Id="rId20" Type="http://schemas.openxmlformats.org/officeDocument/2006/relationships/hyperlink" Target="mailto:Nikhil.Choudhary@gmail.com" TargetMode="External"/><Relationship Id="rId1" Type="http://schemas.openxmlformats.org/officeDocument/2006/relationships/hyperlink" Target="mailto:Ravi.Kumar@gmail.com" TargetMode="External"/><Relationship Id="rId6" Type="http://schemas.openxmlformats.org/officeDocument/2006/relationships/hyperlink" Target="mailto:Pooja.Sharma@gmail.com" TargetMode="External"/><Relationship Id="rId11" Type="http://schemas.openxmlformats.org/officeDocument/2006/relationships/hyperlink" Target="mailto:Kavya.Iyer@gmail.com" TargetMode="External"/><Relationship Id="rId5" Type="http://schemas.openxmlformats.org/officeDocument/2006/relationships/hyperlink" Target="mailto:Deepak.Yadav@gmail.com" TargetMode="External"/><Relationship Id="rId15" Type="http://schemas.openxmlformats.org/officeDocument/2006/relationships/hyperlink" Target="mailto:Rekha.Jain@gmail.com" TargetMode="External"/><Relationship Id="rId10" Type="http://schemas.openxmlformats.org/officeDocument/2006/relationships/hyperlink" Target="mailto:Suresh.Naidu@gmail.com" TargetMode="External"/><Relationship Id="rId19" Type="http://schemas.openxmlformats.org/officeDocument/2006/relationships/hyperlink" Target="mailto:Swathi.Rao@gmail.com" TargetMode="External"/><Relationship Id="rId4" Type="http://schemas.openxmlformats.org/officeDocument/2006/relationships/hyperlink" Target="mailto:Priya.Meena@gmail.com" TargetMode="External"/><Relationship Id="rId9" Type="http://schemas.openxmlformats.org/officeDocument/2006/relationships/hyperlink" Target="mailto:Rahul.Das@gmail.com" TargetMode="External"/><Relationship Id="rId14" Type="http://schemas.openxmlformats.org/officeDocument/2006/relationships/hyperlink" Target="mailto:Manoj.Gupta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2E71B-8005-47E0-8D94-C962DFF44756}">
  <sheetPr>
    <tabColor theme="6" tint="0.39997558519241921"/>
  </sheetPr>
  <dimension ref="B2:S22"/>
  <sheetViews>
    <sheetView topLeftCell="I1" workbookViewId="0">
      <selection activeCell="J26" sqref="J26"/>
    </sheetView>
  </sheetViews>
  <sheetFormatPr defaultRowHeight="14.4"/>
  <cols>
    <col min="2" max="5" width="13.6640625" customWidth="1"/>
    <col min="6" max="6" width="16.33203125" customWidth="1"/>
    <col min="9" max="9" width="19.6640625" customWidth="1"/>
    <col min="10" max="10" width="27.77734375" customWidth="1"/>
    <col min="11" max="11" width="9.77734375" customWidth="1"/>
    <col min="12" max="12" width="11.5546875" customWidth="1"/>
    <col min="13" max="13" width="11.6640625" customWidth="1"/>
    <col min="14" max="14" width="19.33203125" customWidth="1"/>
    <col min="15" max="15" width="17.33203125" customWidth="1"/>
    <col min="16" max="16" width="16.33203125" customWidth="1"/>
    <col min="17" max="17" width="23.5546875" customWidth="1"/>
    <col min="18" max="18" width="19.5546875" customWidth="1"/>
    <col min="19" max="19" width="22.21875" customWidth="1"/>
  </cols>
  <sheetData>
    <row r="2" spans="2:19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I2" s="12" t="s">
        <v>91</v>
      </c>
      <c r="J2" s="12" t="s">
        <v>92</v>
      </c>
      <c r="K2" s="12" t="s">
        <v>113</v>
      </c>
      <c r="L2" s="12" t="s">
        <v>134</v>
      </c>
      <c r="M2" s="12" t="s">
        <v>155</v>
      </c>
      <c r="N2" s="12" t="s">
        <v>167</v>
      </c>
      <c r="O2" s="12" t="s">
        <v>168</v>
      </c>
      <c r="P2" s="12" t="s">
        <v>169</v>
      </c>
      <c r="Q2" s="12" t="s">
        <v>170</v>
      </c>
      <c r="R2" s="12" t="s">
        <v>171</v>
      </c>
      <c r="S2" s="12" t="s">
        <v>172</v>
      </c>
    </row>
    <row r="3" spans="2:19">
      <c r="B3" s="1" t="s">
        <v>5</v>
      </c>
      <c r="C3" s="1" t="s">
        <v>6</v>
      </c>
      <c r="D3" s="1">
        <v>25000</v>
      </c>
      <c r="E3" s="1">
        <v>2000</v>
      </c>
      <c r="F3" s="1" t="s">
        <v>7</v>
      </c>
      <c r="I3" t="str">
        <f>B3&amp;" "&amp;C3</f>
        <v>Ravi Kumar</v>
      </c>
      <c r="J3" s="13" t="s">
        <v>93</v>
      </c>
      <c r="K3" t="s">
        <v>114</v>
      </c>
      <c r="L3" t="s">
        <v>135</v>
      </c>
      <c r="M3" t="s">
        <v>156</v>
      </c>
      <c r="N3">
        <f>D3+E3</f>
        <v>27000</v>
      </c>
      <c r="O3">
        <f>N3*12</f>
        <v>324000</v>
      </c>
      <c r="P3">
        <f>N3*10%</f>
        <v>2700</v>
      </c>
      <c r="Q3">
        <f>N3-P3</f>
        <v>24300</v>
      </c>
      <c r="R3">
        <f>E3+500</f>
        <v>2500</v>
      </c>
      <c r="S3">
        <f>D3/1000</f>
        <v>25</v>
      </c>
    </row>
    <row r="4" spans="2:19">
      <c r="B4" s="1" t="s">
        <v>8</v>
      </c>
      <c r="C4" s="1" t="s">
        <v>9</v>
      </c>
      <c r="D4" s="1">
        <v>30000</v>
      </c>
      <c r="E4" s="1">
        <v>2500</v>
      </c>
      <c r="F4" s="1" t="s">
        <v>10</v>
      </c>
      <c r="I4" t="str">
        <f>B4&amp;" "&amp;C4</f>
        <v>Sneha Rani</v>
      </c>
      <c r="J4" s="13" t="s">
        <v>105</v>
      </c>
      <c r="K4" t="s">
        <v>115</v>
      </c>
      <c r="L4" t="s">
        <v>136</v>
      </c>
      <c r="M4" t="s">
        <v>157</v>
      </c>
      <c r="N4">
        <f t="shared" ref="N4:N22" si="0">D4+E4</f>
        <v>32500</v>
      </c>
      <c r="O4">
        <f t="shared" ref="O4:O22" si="1">N4*12</f>
        <v>390000</v>
      </c>
      <c r="P4">
        <f t="shared" ref="P4:P22" si="2">N4*10%</f>
        <v>3250</v>
      </c>
      <c r="Q4">
        <f t="shared" ref="Q4:Q21" si="3">N4-P4</f>
        <v>29250</v>
      </c>
      <c r="R4">
        <f t="shared" ref="R4:R22" si="4">E4+500</f>
        <v>3000</v>
      </c>
      <c r="S4">
        <f t="shared" ref="S4:S22" si="5">D4/1000</f>
        <v>30</v>
      </c>
    </row>
    <row r="5" spans="2:19">
      <c r="B5" s="1" t="s">
        <v>11</v>
      </c>
      <c r="C5" s="1" t="s">
        <v>12</v>
      </c>
      <c r="D5" s="1">
        <v>28000</v>
      </c>
      <c r="E5" s="1">
        <v>1800</v>
      </c>
      <c r="F5" s="1" t="s">
        <v>13</v>
      </c>
      <c r="I5" t="str">
        <f t="shared" ref="I5:I22" si="6">B5&amp;" "&amp;C5</f>
        <v>Ankit Verma</v>
      </c>
      <c r="J5" s="13" t="s">
        <v>106</v>
      </c>
      <c r="K5" t="s">
        <v>116</v>
      </c>
      <c r="L5" t="s">
        <v>137</v>
      </c>
      <c r="M5" t="s">
        <v>158</v>
      </c>
      <c r="N5">
        <f t="shared" si="0"/>
        <v>29800</v>
      </c>
      <c r="O5">
        <f t="shared" si="1"/>
        <v>357600</v>
      </c>
      <c r="P5">
        <f t="shared" si="2"/>
        <v>2980</v>
      </c>
      <c r="Q5">
        <f t="shared" si="3"/>
        <v>26820</v>
      </c>
      <c r="R5">
        <f t="shared" si="4"/>
        <v>2300</v>
      </c>
      <c r="S5">
        <f t="shared" si="5"/>
        <v>28</v>
      </c>
    </row>
    <row r="6" spans="2:19">
      <c r="B6" s="1" t="s">
        <v>14</v>
      </c>
      <c r="C6" s="1" t="s">
        <v>15</v>
      </c>
      <c r="D6" s="1">
        <v>32000</v>
      </c>
      <c r="E6" s="1">
        <v>3000</v>
      </c>
      <c r="F6" s="1" t="s">
        <v>16</v>
      </c>
      <c r="I6" t="str">
        <f t="shared" si="6"/>
        <v>Priya Meena</v>
      </c>
      <c r="J6" s="13" t="s">
        <v>107</v>
      </c>
      <c r="K6" t="s">
        <v>117</v>
      </c>
      <c r="L6" t="s">
        <v>138</v>
      </c>
      <c r="M6" t="s">
        <v>159</v>
      </c>
      <c r="N6">
        <f t="shared" si="0"/>
        <v>35000</v>
      </c>
      <c r="O6">
        <f t="shared" si="1"/>
        <v>420000</v>
      </c>
      <c r="P6">
        <f t="shared" si="2"/>
        <v>3500</v>
      </c>
      <c r="Q6">
        <f t="shared" si="3"/>
        <v>31500</v>
      </c>
      <c r="R6">
        <f t="shared" si="4"/>
        <v>3500</v>
      </c>
      <c r="S6">
        <f t="shared" si="5"/>
        <v>32</v>
      </c>
    </row>
    <row r="7" spans="2:19">
      <c r="B7" s="1" t="s">
        <v>17</v>
      </c>
      <c r="C7" s="1" t="s">
        <v>18</v>
      </c>
      <c r="D7" s="1">
        <v>27000</v>
      </c>
      <c r="E7" s="1">
        <v>2200</v>
      </c>
      <c r="F7" s="1" t="s">
        <v>19</v>
      </c>
      <c r="I7" t="str">
        <f t="shared" si="6"/>
        <v>Deepak Yadav</v>
      </c>
      <c r="J7" s="13" t="s">
        <v>108</v>
      </c>
      <c r="K7" t="s">
        <v>118</v>
      </c>
      <c r="L7" t="s">
        <v>139</v>
      </c>
      <c r="M7" t="s">
        <v>160</v>
      </c>
      <c r="N7">
        <f t="shared" si="0"/>
        <v>29200</v>
      </c>
      <c r="O7">
        <f t="shared" si="1"/>
        <v>350400</v>
      </c>
      <c r="P7">
        <f t="shared" si="2"/>
        <v>2920</v>
      </c>
      <c r="Q7">
        <f t="shared" si="3"/>
        <v>26280</v>
      </c>
      <c r="R7">
        <f t="shared" si="4"/>
        <v>2700</v>
      </c>
      <c r="S7">
        <f t="shared" si="5"/>
        <v>27</v>
      </c>
    </row>
    <row r="8" spans="2:19">
      <c r="B8" s="1" t="s">
        <v>55</v>
      </c>
      <c r="C8" s="1" t="s">
        <v>56</v>
      </c>
      <c r="D8" s="1">
        <v>26000</v>
      </c>
      <c r="E8" s="1">
        <v>2100</v>
      </c>
      <c r="F8" s="1" t="s">
        <v>57</v>
      </c>
      <c r="I8" t="str">
        <f t="shared" si="6"/>
        <v>Pooja Sharma</v>
      </c>
      <c r="J8" s="13" t="s">
        <v>109</v>
      </c>
      <c r="K8" t="s">
        <v>119</v>
      </c>
      <c r="L8" t="s">
        <v>140</v>
      </c>
      <c r="M8" t="s">
        <v>19</v>
      </c>
      <c r="N8">
        <f t="shared" si="0"/>
        <v>28100</v>
      </c>
      <c r="O8">
        <f t="shared" si="1"/>
        <v>337200</v>
      </c>
      <c r="P8">
        <f t="shared" si="2"/>
        <v>2810</v>
      </c>
      <c r="Q8">
        <f t="shared" si="3"/>
        <v>25290</v>
      </c>
      <c r="R8">
        <f t="shared" si="4"/>
        <v>2600</v>
      </c>
      <c r="S8">
        <f t="shared" si="5"/>
        <v>26</v>
      </c>
    </row>
    <row r="9" spans="2:19">
      <c r="B9" s="1" t="s">
        <v>58</v>
      </c>
      <c r="C9" s="1" t="s">
        <v>59</v>
      </c>
      <c r="D9" s="1">
        <v>31000</v>
      </c>
      <c r="E9" s="1">
        <v>2700</v>
      </c>
      <c r="F9" s="1" t="s">
        <v>60</v>
      </c>
      <c r="I9" t="str">
        <f t="shared" si="6"/>
        <v>Kiran Reddy</v>
      </c>
      <c r="J9" s="13" t="s">
        <v>110</v>
      </c>
      <c r="K9" t="s">
        <v>120</v>
      </c>
      <c r="L9" t="s">
        <v>141</v>
      </c>
      <c r="M9" t="s">
        <v>161</v>
      </c>
      <c r="N9">
        <f t="shared" si="0"/>
        <v>33700</v>
      </c>
      <c r="O9">
        <f t="shared" si="1"/>
        <v>404400</v>
      </c>
      <c r="P9">
        <f t="shared" si="2"/>
        <v>3370</v>
      </c>
      <c r="Q9">
        <f t="shared" si="3"/>
        <v>30330</v>
      </c>
      <c r="R9">
        <f t="shared" si="4"/>
        <v>3200</v>
      </c>
      <c r="S9">
        <f t="shared" si="5"/>
        <v>31</v>
      </c>
    </row>
    <row r="10" spans="2:19">
      <c r="B10" s="1" t="s">
        <v>61</v>
      </c>
      <c r="C10" s="1" t="s">
        <v>62</v>
      </c>
      <c r="D10" s="1">
        <v>29000</v>
      </c>
      <c r="E10" s="1">
        <v>2400</v>
      </c>
      <c r="F10" s="1" t="s">
        <v>63</v>
      </c>
      <c r="I10" t="str">
        <f t="shared" si="6"/>
        <v>Neha Singh</v>
      </c>
      <c r="J10" s="13" t="s">
        <v>111</v>
      </c>
      <c r="K10" t="s">
        <v>121</v>
      </c>
      <c r="L10" t="s">
        <v>142</v>
      </c>
      <c r="M10" t="s">
        <v>162</v>
      </c>
      <c r="N10">
        <f t="shared" si="0"/>
        <v>31400</v>
      </c>
      <c r="O10">
        <f t="shared" si="1"/>
        <v>376800</v>
      </c>
      <c r="P10">
        <f t="shared" si="2"/>
        <v>3140</v>
      </c>
      <c r="Q10">
        <f t="shared" si="3"/>
        <v>28260</v>
      </c>
      <c r="R10">
        <f t="shared" si="4"/>
        <v>2900</v>
      </c>
      <c r="S10">
        <f t="shared" si="5"/>
        <v>29</v>
      </c>
    </row>
    <row r="11" spans="2:19">
      <c r="B11" s="1" t="s">
        <v>64</v>
      </c>
      <c r="C11" s="1" t="s">
        <v>65</v>
      </c>
      <c r="D11" s="1">
        <v>27500</v>
      </c>
      <c r="E11" s="1">
        <v>1900</v>
      </c>
      <c r="F11" s="1" t="s">
        <v>66</v>
      </c>
      <c r="I11" t="str">
        <f t="shared" si="6"/>
        <v>Rahul Das</v>
      </c>
      <c r="J11" s="13" t="s">
        <v>112</v>
      </c>
      <c r="K11" t="s">
        <v>122</v>
      </c>
      <c r="L11" t="s">
        <v>143</v>
      </c>
      <c r="M11" t="s">
        <v>163</v>
      </c>
      <c r="N11">
        <f t="shared" si="0"/>
        <v>29400</v>
      </c>
      <c r="O11">
        <f t="shared" si="1"/>
        <v>352800</v>
      </c>
      <c r="P11">
        <f t="shared" si="2"/>
        <v>2940</v>
      </c>
      <c r="Q11">
        <f t="shared" si="3"/>
        <v>26460</v>
      </c>
      <c r="R11">
        <f t="shared" si="4"/>
        <v>2400</v>
      </c>
      <c r="S11">
        <f t="shared" si="5"/>
        <v>27.5</v>
      </c>
    </row>
    <row r="12" spans="2:19">
      <c r="B12" s="1" t="s">
        <v>67</v>
      </c>
      <c r="C12" s="1" t="s">
        <v>68</v>
      </c>
      <c r="D12" s="1">
        <v>33000</v>
      </c>
      <c r="E12" s="1">
        <v>3200</v>
      </c>
      <c r="F12" s="1" t="s">
        <v>69</v>
      </c>
      <c r="I12" t="str">
        <f t="shared" si="6"/>
        <v>Suresh Naidu</v>
      </c>
      <c r="J12" s="13" t="s">
        <v>94</v>
      </c>
      <c r="K12" t="s">
        <v>123</v>
      </c>
      <c r="L12" t="s">
        <v>144</v>
      </c>
      <c r="M12" t="s">
        <v>164</v>
      </c>
      <c r="N12">
        <f t="shared" si="0"/>
        <v>36200</v>
      </c>
      <c r="O12">
        <f t="shared" si="1"/>
        <v>434400</v>
      </c>
      <c r="P12">
        <f t="shared" si="2"/>
        <v>3620</v>
      </c>
      <c r="Q12">
        <f t="shared" si="3"/>
        <v>32580</v>
      </c>
      <c r="R12">
        <f t="shared" si="4"/>
        <v>3700</v>
      </c>
      <c r="S12">
        <f t="shared" si="5"/>
        <v>33</v>
      </c>
    </row>
    <row r="13" spans="2:19">
      <c r="B13" s="1" t="s">
        <v>70</v>
      </c>
      <c r="C13" s="1" t="s">
        <v>71</v>
      </c>
      <c r="D13" s="1">
        <v>30500</v>
      </c>
      <c r="E13" s="1">
        <v>2600</v>
      </c>
      <c r="F13" s="1" t="s">
        <v>72</v>
      </c>
      <c r="I13" t="str">
        <f t="shared" si="6"/>
        <v>Kavya Iyer</v>
      </c>
      <c r="J13" s="13" t="s">
        <v>95</v>
      </c>
      <c r="K13" t="s">
        <v>124</v>
      </c>
      <c r="L13" t="s">
        <v>145</v>
      </c>
      <c r="M13" t="s">
        <v>165</v>
      </c>
      <c r="N13">
        <f t="shared" si="0"/>
        <v>33100</v>
      </c>
      <c r="O13">
        <f t="shared" si="1"/>
        <v>397200</v>
      </c>
      <c r="P13">
        <f t="shared" si="2"/>
        <v>3310</v>
      </c>
      <c r="Q13">
        <f t="shared" si="3"/>
        <v>29790</v>
      </c>
      <c r="R13">
        <f t="shared" si="4"/>
        <v>3100</v>
      </c>
      <c r="S13">
        <f t="shared" si="5"/>
        <v>30.5</v>
      </c>
    </row>
    <row r="14" spans="2:19">
      <c r="B14" s="1" t="s">
        <v>73</v>
      </c>
      <c r="C14" s="1" t="s">
        <v>74</v>
      </c>
      <c r="D14" s="1">
        <v>29500</v>
      </c>
      <c r="E14" s="1">
        <v>2300</v>
      </c>
      <c r="F14" s="1" t="s">
        <v>75</v>
      </c>
      <c r="I14" t="str">
        <f t="shared" si="6"/>
        <v>Arjun Patel</v>
      </c>
      <c r="J14" s="13" t="s">
        <v>96</v>
      </c>
      <c r="K14" t="s">
        <v>125</v>
      </c>
      <c r="L14" t="s">
        <v>146</v>
      </c>
      <c r="M14" t="s">
        <v>166</v>
      </c>
      <c r="N14">
        <f t="shared" si="0"/>
        <v>31800</v>
      </c>
      <c r="O14">
        <f t="shared" si="1"/>
        <v>381600</v>
      </c>
      <c r="P14">
        <f t="shared" si="2"/>
        <v>3180</v>
      </c>
      <c r="Q14">
        <f t="shared" si="3"/>
        <v>28620</v>
      </c>
      <c r="R14">
        <f t="shared" si="4"/>
        <v>2800</v>
      </c>
      <c r="S14">
        <f t="shared" si="5"/>
        <v>29.5</v>
      </c>
    </row>
    <row r="15" spans="2:19">
      <c r="B15" s="1" t="s">
        <v>76</v>
      </c>
      <c r="C15" s="1" t="s">
        <v>77</v>
      </c>
      <c r="D15" s="1">
        <v>28500</v>
      </c>
      <c r="E15" s="1">
        <v>2000</v>
      </c>
      <c r="F15" s="1" t="s">
        <v>7</v>
      </c>
      <c r="I15" t="str">
        <f t="shared" si="6"/>
        <v>Divya Nair</v>
      </c>
      <c r="J15" s="13" t="s">
        <v>97</v>
      </c>
      <c r="K15" t="s">
        <v>126</v>
      </c>
      <c r="L15" t="s">
        <v>147</v>
      </c>
      <c r="M15" t="s">
        <v>156</v>
      </c>
      <c r="N15">
        <f t="shared" si="0"/>
        <v>30500</v>
      </c>
      <c r="O15">
        <f t="shared" si="1"/>
        <v>366000</v>
      </c>
      <c r="P15">
        <f t="shared" si="2"/>
        <v>3050</v>
      </c>
      <c r="Q15">
        <f t="shared" si="3"/>
        <v>27450</v>
      </c>
      <c r="R15">
        <f t="shared" si="4"/>
        <v>2500</v>
      </c>
      <c r="S15">
        <f t="shared" si="5"/>
        <v>28.5</v>
      </c>
    </row>
    <row r="16" spans="2:19">
      <c r="B16" s="1" t="s">
        <v>78</v>
      </c>
      <c r="C16" s="1" t="s">
        <v>79</v>
      </c>
      <c r="D16" s="1">
        <v>34000</v>
      </c>
      <c r="E16" s="1">
        <v>3500</v>
      </c>
      <c r="F16" s="1" t="s">
        <v>10</v>
      </c>
      <c r="I16" t="str">
        <f t="shared" si="6"/>
        <v>Manoj Gupta</v>
      </c>
      <c r="J16" s="13" t="s">
        <v>98</v>
      </c>
      <c r="K16" t="s">
        <v>127</v>
      </c>
      <c r="L16" t="s">
        <v>148</v>
      </c>
      <c r="M16" t="s">
        <v>157</v>
      </c>
      <c r="N16">
        <f t="shared" si="0"/>
        <v>37500</v>
      </c>
      <c r="O16">
        <f t="shared" si="1"/>
        <v>450000</v>
      </c>
      <c r="P16">
        <f t="shared" si="2"/>
        <v>3750</v>
      </c>
      <c r="Q16">
        <f t="shared" si="3"/>
        <v>33750</v>
      </c>
      <c r="R16">
        <f t="shared" si="4"/>
        <v>4000</v>
      </c>
      <c r="S16">
        <f t="shared" si="5"/>
        <v>34</v>
      </c>
    </row>
    <row r="17" spans="2:19">
      <c r="B17" s="1" t="s">
        <v>80</v>
      </c>
      <c r="C17" s="1" t="s">
        <v>81</v>
      </c>
      <c r="D17" s="1">
        <v>26500</v>
      </c>
      <c r="E17" s="1">
        <v>1800</v>
      </c>
      <c r="F17" s="1" t="s">
        <v>13</v>
      </c>
      <c r="I17" t="str">
        <f t="shared" si="6"/>
        <v>Rekha Jain</v>
      </c>
      <c r="J17" s="13" t="s">
        <v>99</v>
      </c>
      <c r="K17" t="s">
        <v>128</v>
      </c>
      <c r="L17" t="s">
        <v>149</v>
      </c>
      <c r="M17" t="s">
        <v>158</v>
      </c>
      <c r="N17">
        <f t="shared" si="0"/>
        <v>28300</v>
      </c>
      <c r="O17">
        <f t="shared" si="1"/>
        <v>339600</v>
      </c>
      <c r="P17">
        <f t="shared" si="2"/>
        <v>2830</v>
      </c>
      <c r="Q17">
        <f t="shared" si="3"/>
        <v>25470</v>
      </c>
      <c r="R17">
        <f t="shared" si="4"/>
        <v>2300</v>
      </c>
      <c r="S17">
        <f t="shared" si="5"/>
        <v>26.5</v>
      </c>
    </row>
    <row r="18" spans="2:19">
      <c r="B18" s="1" t="s">
        <v>82</v>
      </c>
      <c r="C18" s="1" t="s">
        <v>83</v>
      </c>
      <c r="D18" s="1">
        <v>31500</v>
      </c>
      <c r="E18" s="1">
        <v>2900</v>
      </c>
      <c r="F18" s="1" t="s">
        <v>16</v>
      </c>
      <c r="I18" t="str">
        <f t="shared" si="6"/>
        <v>Vikas Shetty</v>
      </c>
      <c r="J18" s="13" t="s">
        <v>100</v>
      </c>
      <c r="K18" t="s">
        <v>129</v>
      </c>
      <c r="L18" t="s">
        <v>150</v>
      </c>
      <c r="M18" t="s">
        <v>159</v>
      </c>
      <c r="N18">
        <f t="shared" si="0"/>
        <v>34400</v>
      </c>
      <c r="O18">
        <f t="shared" si="1"/>
        <v>412800</v>
      </c>
      <c r="P18">
        <f t="shared" si="2"/>
        <v>3440</v>
      </c>
      <c r="Q18">
        <f t="shared" si="3"/>
        <v>30960</v>
      </c>
      <c r="R18">
        <f t="shared" si="4"/>
        <v>3400</v>
      </c>
      <c r="S18">
        <f t="shared" si="5"/>
        <v>31.5</v>
      </c>
    </row>
    <row r="19" spans="2:19">
      <c r="B19" s="1" t="s">
        <v>15</v>
      </c>
      <c r="C19" s="1" t="s">
        <v>84</v>
      </c>
      <c r="D19" s="1">
        <v>27500</v>
      </c>
      <c r="E19" s="1">
        <v>2100</v>
      </c>
      <c r="F19" s="1" t="s">
        <v>19</v>
      </c>
      <c r="I19" t="str">
        <f t="shared" si="6"/>
        <v>Meena Pillai</v>
      </c>
      <c r="J19" s="13" t="s">
        <v>101</v>
      </c>
      <c r="K19" t="s">
        <v>130</v>
      </c>
      <c r="L19" t="s">
        <v>151</v>
      </c>
      <c r="M19" t="s">
        <v>160</v>
      </c>
      <c r="N19">
        <f t="shared" si="0"/>
        <v>29600</v>
      </c>
      <c r="O19">
        <f t="shared" si="1"/>
        <v>355200</v>
      </c>
      <c r="P19">
        <f t="shared" si="2"/>
        <v>2960</v>
      </c>
      <c r="Q19">
        <f t="shared" si="3"/>
        <v>26640</v>
      </c>
      <c r="R19">
        <f t="shared" si="4"/>
        <v>2600</v>
      </c>
      <c r="S19">
        <f t="shared" si="5"/>
        <v>27.5</v>
      </c>
    </row>
    <row r="20" spans="2:19">
      <c r="B20" s="1" t="s">
        <v>85</v>
      </c>
      <c r="C20" s="1" t="s">
        <v>86</v>
      </c>
      <c r="D20" s="1">
        <v>30000</v>
      </c>
      <c r="E20" s="1">
        <v>2500</v>
      </c>
      <c r="F20" s="1" t="s">
        <v>57</v>
      </c>
      <c r="I20" t="str">
        <f t="shared" si="6"/>
        <v>Ajay Kulkarni</v>
      </c>
      <c r="J20" s="13" t="s">
        <v>102</v>
      </c>
      <c r="K20" t="s">
        <v>131</v>
      </c>
      <c r="L20" t="s">
        <v>152</v>
      </c>
      <c r="M20" t="s">
        <v>19</v>
      </c>
      <c r="N20">
        <f t="shared" si="0"/>
        <v>32500</v>
      </c>
      <c r="O20">
        <f t="shared" si="1"/>
        <v>390000</v>
      </c>
      <c r="P20">
        <f t="shared" si="2"/>
        <v>3250</v>
      </c>
      <c r="Q20">
        <f t="shared" si="3"/>
        <v>29250</v>
      </c>
      <c r="R20">
        <f t="shared" si="4"/>
        <v>3000</v>
      </c>
      <c r="S20">
        <f t="shared" si="5"/>
        <v>30</v>
      </c>
    </row>
    <row r="21" spans="2:19">
      <c r="B21" s="1" t="s">
        <v>87</v>
      </c>
      <c r="C21" s="1" t="s">
        <v>88</v>
      </c>
      <c r="D21" s="1">
        <v>28500</v>
      </c>
      <c r="E21" s="1">
        <v>2200</v>
      </c>
      <c r="F21" s="1" t="s">
        <v>60</v>
      </c>
      <c r="I21" t="str">
        <f t="shared" si="6"/>
        <v>Swathi Rao</v>
      </c>
      <c r="J21" s="13" t="s">
        <v>103</v>
      </c>
      <c r="K21" t="s">
        <v>132</v>
      </c>
      <c r="L21" t="s">
        <v>153</v>
      </c>
      <c r="M21" t="s">
        <v>161</v>
      </c>
      <c r="N21">
        <f t="shared" si="0"/>
        <v>30700</v>
      </c>
      <c r="O21">
        <f t="shared" si="1"/>
        <v>368400</v>
      </c>
      <c r="P21">
        <f t="shared" si="2"/>
        <v>3070</v>
      </c>
      <c r="Q21">
        <f t="shared" si="3"/>
        <v>27630</v>
      </c>
      <c r="R21">
        <f t="shared" si="4"/>
        <v>2700</v>
      </c>
      <c r="S21">
        <f t="shared" si="5"/>
        <v>28.5</v>
      </c>
    </row>
    <row r="22" spans="2:19">
      <c r="B22" s="1" t="s">
        <v>89</v>
      </c>
      <c r="C22" s="1" t="s">
        <v>90</v>
      </c>
      <c r="D22" s="1">
        <v>32500</v>
      </c>
      <c r="E22" s="1">
        <v>3000</v>
      </c>
      <c r="F22" s="1" t="s">
        <v>63</v>
      </c>
      <c r="I22" t="str">
        <f t="shared" si="6"/>
        <v>Nikhil Choudhary</v>
      </c>
      <c r="J22" s="13" t="s">
        <v>104</v>
      </c>
      <c r="K22" t="s">
        <v>133</v>
      </c>
      <c r="L22" t="s">
        <v>154</v>
      </c>
      <c r="M22" t="s">
        <v>162</v>
      </c>
      <c r="N22">
        <f t="shared" si="0"/>
        <v>35500</v>
      </c>
      <c r="O22">
        <f t="shared" si="1"/>
        <v>426000</v>
      </c>
      <c r="P22">
        <f t="shared" si="2"/>
        <v>3550</v>
      </c>
      <c r="R22">
        <f t="shared" si="4"/>
        <v>3500</v>
      </c>
      <c r="S22">
        <f t="shared" si="5"/>
        <v>32.5</v>
      </c>
    </row>
  </sheetData>
  <phoneticPr fontId="3" type="noConversion"/>
  <hyperlinks>
    <hyperlink ref="J3" r:id="rId1" xr:uid="{B413CCC6-BE33-4AB7-B750-912C663F8786}"/>
    <hyperlink ref="J4" r:id="rId2" xr:uid="{ED58F29A-77CB-4714-920A-D77B50FA3FD6}"/>
    <hyperlink ref="J5" r:id="rId3" xr:uid="{5D64948E-39EF-4C08-BB61-2074FB7D1FC7}"/>
    <hyperlink ref="J6" r:id="rId4" xr:uid="{E2632E05-06E0-42E6-BC1A-2908E773A718}"/>
    <hyperlink ref="J7" r:id="rId5" xr:uid="{461E949E-1C7C-4128-AD64-B39B5FE7191D}"/>
    <hyperlink ref="J8" r:id="rId6" xr:uid="{CA254678-49A3-4FF2-9E8F-982FD57F685B}"/>
    <hyperlink ref="J9" r:id="rId7" xr:uid="{241A8E0B-9ACE-42E5-9ADA-5124D0DD7C7D}"/>
    <hyperlink ref="J10" r:id="rId8" xr:uid="{9992AFCE-F572-4082-9C5C-719E9A615AC6}"/>
    <hyperlink ref="J11" r:id="rId9" xr:uid="{49FE50CB-8A32-4F60-97D4-EEE2B0D339A2}"/>
    <hyperlink ref="J12" r:id="rId10" xr:uid="{CAEC00F4-1112-442D-857D-BB1687BF4939}"/>
    <hyperlink ref="J13" r:id="rId11" xr:uid="{3C34BBF6-461D-47DD-9D17-6544D7CAEF03}"/>
    <hyperlink ref="J14" r:id="rId12" xr:uid="{0B4EB8D3-30E0-4A26-8DFD-44452BD490D0}"/>
    <hyperlink ref="J15" r:id="rId13" xr:uid="{BDDDB39B-2E4F-41CE-AB29-8B87A34CB12B}"/>
    <hyperlink ref="J16" r:id="rId14" xr:uid="{07952E76-BCF1-4391-A095-B5FE6C250CF3}"/>
    <hyperlink ref="J17" r:id="rId15" xr:uid="{00F9F33D-E61F-49C0-BDD4-D22E9327586B}"/>
    <hyperlink ref="J18" r:id="rId16" xr:uid="{04C7DF6D-AC5A-457C-8018-03F0CEEE9123}"/>
    <hyperlink ref="J19" r:id="rId17" xr:uid="{103C8692-019C-4465-A065-3289C9442664}"/>
    <hyperlink ref="J20" r:id="rId18" xr:uid="{FA2C4301-2ABC-4680-A111-5B1062976002}"/>
    <hyperlink ref="J21" r:id="rId19" xr:uid="{B6980E67-CBAE-44DD-9757-3F8262B69CC3}"/>
    <hyperlink ref="J22" r:id="rId20" xr:uid="{A8DE6F2E-5707-425A-A669-F493A002B7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44ED-8732-4229-9B6A-48353F132473}">
  <sheetPr>
    <tabColor theme="7" tint="0.39997558519241921"/>
  </sheetPr>
  <dimension ref="B2:D34"/>
  <sheetViews>
    <sheetView tabSelected="1" topLeftCell="A13" workbookViewId="0">
      <selection activeCell="E31" sqref="E31"/>
    </sheetView>
  </sheetViews>
  <sheetFormatPr defaultRowHeight="14.4"/>
  <cols>
    <col min="3" max="3" width="83.21875" bestFit="1" customWidth="1"/>
    <col min="4" max="4" width="28.6640625" customWidth="1"/>
  </cols>
  <sheetData>
    <row r="2" spans="2:4" ht="15" thickBot="1"/>
    <row r="3" spans="2:4" ht="15" thickBot="1">
      <c r="B3" s="14" t="s">
        <v>54</v>
      </c>
      <c r="C3" s="15"/>
      <c r="D3" s="16"/>
    </row>
    <row r="4" spans="2:4">
      <c r="B4" s="9" t="s">
        <v>26</v>
      </c>
      <c r="C4" s="10" t="s">
        <v>20</v>
      </c>
      <c r="D4" s="11"/>
    </row>
    <row r="5" spans="2:4">
      <c r="B5" s="5"/>
      <c r="C5" s="1" t="s">
        <v>21</v>
      </c>
      <c r="D5" s="4"/>
    </row>
    <row r="6" spans="2:4">
      <c r="B6" s="5"/>
      <c r="C6" s="1" t="s">
        <v>22</v>
      </c>
      <c r="D6" s="4"/>
    </row>
    <row r="7" spans="2:4">
      <c r="B7" s="5"/>
      <c r="C7" s="1"/>
      <c r="D7" s="4"/>
    </row>
    <row r="8" spans="2:4">
      <c r="B8" s="5"/>
      <c r="C8" s="1"/>
      <c r="D8" s="4"/>
    </row>
    <row r="9" spans="2:4">
      <c r="B9" s="3" t="s">
        <v>27</v>
      </c>
      <c r="C9" s="1" t="s">
        <v>23</v>
      </c>
      <c r="D9" s="4"/>
    </row>
    <row r="10" spans="2:4">
      <c r="B10" s="5"/>
      <c r="C10" s="1" t="s">
        <v>24</v>
      </c>
      <c r="D10" s="4"/>
    </row>
    <row r="11" spans="2:4">
      <c r="B11" s="5"/>
      <c r="C11" s="1" t="s">
        <v>25</v>
      </c>
      <c r="D11" s="4"/>
    </row>
    <row r="12" spans="2:4">
      <c r="B12" s="5"/>
      <c r="C12" s="1"/>
      <c r="D12" s="4"/>
    </row>
    <row r="13" spans="2:4">
      <c r="B13" s="3" t="s">
        <v>28</v>
      </c>
      <c r="C13" s="1" t="s">
        <v>29</v>
      </c>
      <c r="D13" s="4"/>
    </row>
    <row r="14" spans="2:4">
      <c r="B14" s="5"/>
      <c r="C14" s="1" t="s">
        <v>30</v>
      </c>
      <c r="D14" s="4"/>
    </row>
    <row r="15" spans="2:4">
      <c r="B15" s="5"/>
      <c r="C15" s="1" t="s">
        <v>31</v>
      </c>
      <c r="D15" s="4"/>
    </row>
    <row r="16" spans="2:4">
      <c r="B16" s="5"/>
      <c r="C16" s="1"/>
      <c r="D16" s="4"/>
    </row>
    <row r="17" spans="2:4">
      <c r="B17" s="3" t="s">
        <v>32</v>
      </c>
      <c r="C17" s="1" t="s">
        <v>51</v>
      </c>
      <c r="D17" s="4"/>
    </row>
    <row r="18" spans="2:4">
      <c r="B18" s="5"/>
      <c r="C18" s="1" t="s">
        <v>52</v>
      </c>
      <c r="D18" s="4"/>
    </row>
    <row r="19" spans="2:4">
      <c r="B19" s="5"/>
      <c r="C19" s="1"/>
      <c r="D19" s="4"/>
    </row>
    <row r="20" spans="2:4">
      <c r="B20" s="5"/>
      <c r="C20" s="1"/>
      <c r="D20" s="4"/>
    </row>
    <row r="21" spans="2:4">
      <c r="B21" s="3" t="s">
        <v>35</v>
      </c>
      <c r="C21" s="1" t="s">
        <v>33</v>
      </c>
      <c r="D21" s="4"/>
    </row>
    <row r="22" spans="2:4">
      <c r="B22" s="5"/>
      <c r="C22" s="1" t="s">
        <v>34</v>
      </c>
      <c r="D22" s="4"/>
    </row>
    <row r="23" spans="2:4">
      <c r="B23" s="5"/>
      <c r="C23" s="1"/>
      <c r="D23" s="4"/>
    </row>
    <row r="24" spans="2:4">
      <c r="B24" s="3" t="s">
        <v>45</v>
      </c>
      <c r="C24" s="1" t="s">
        <v>36</v>
      </c>
      <c r="D24" s="4"/>
    </row>
    <row r="25" spans="2:4">
      <c r="B25" s="5"/>
      <c r="C25" s="1" t="s">
        <v>37</v>
      </c>
      <c r="D25" s="4" t="s">
        <v>38</v>
      </c>
    </row>
    <row r="26" spans="2:4">
      <c r="B26" s="5"/>
      <c r="C26" s="1" t="s">
        <v>39</v>
      </c>
      <c r="D26" s="4" t="s">
        <v>40</v>
      </c>
    </row>
    <row r="27" spans="2:4">
      <c r="B27" s="5"/>
      <c r="C27" s="1" t="s">
        <v>41</v>
      </c>
      <c r="D27" s="4" t="s">
        <v>42</v>
      </c>
    </row>
    <row r="28" spans="2:4">
      <c r="B28" s="5"/>
      <c r="C28" s="1" t="s">
        <v>43</v>
      </c>
      <c r="D28" s="4" t="s">
        <v>44</v>
      </c>
    </row>
    <row r="29" spans="2:4">
      <c r="B29" s="5"/>
      <c r="C29" s="1"/>
      <c r="D29" s="4"/>
    </row>
    <row r="30" spans="2:4">
      <c r="B30" s="3" t="s">
        <v>53</v>
      </c>
      <c r="C30" s="1" t="s">
        <v>46</v>
      </c>
      <c r="D30" s="4"/>
    </row>
    <row r="31" spans="2:4">
      <c r="B31" s="5"/>
      <c r="C31" s="1" t="s">
        <v>47</v>
      </c>
      <c r="D31" s="4" t="s">
        <v>48</v>
      </c>
    </row>
    <row r="32" spans="2:4">
      <c r="B32" s="5"/>
      <c r="C32" s="1" t="s">
        <v>49</v>
      </c>
      <c r="D32" s="4" t="s">
        <v>50</v>
      </c>
    </row>
    <row r="33" spans="2:4">
      <c r="B33" s="5"/>
      <c r="C33" s="1"/>
      <c r="D33" s="4"/>
    </row>
    <row r="34" spans="2:4" ht="15" thickBot="1">
      <c r="B34" s="6"/>
      <c r="C34" s="7"/>
      <c r="D34" s="8"/>
    </row>
  </sheetData>
  <mergeCells count="1">
    <mergeCell ref="B3:D3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prasannavakada2005@outlook.com</cp:lastModifiedBy>
  <dcterms:created xsi:type="dcterms:W3CDTF">2026-04-13T06:32:00Z</dcterms:created>
  <dcterms:modified xsi:type="dcterms:W3CDTF">2026-04-18T15:25:28Z</dcterms:modified>
</cp:coreProperties>
</file>